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lanpeter/Documents/University/Vrije Universiteit Amsterdam/Quantitative Investing/QI - Portfolio Selection/"/>
    </mc:Choice>
  </mc:AlternateContent>
  <xr:revisionPtr revIDLastSave="0" documentId="13_ncr:1_{15B30801-0572-3241-BC29-DD65FEE44466}" xr6:coauthVersionLast="47" xr6:coauthVersionMax="47" xr10:uidLastSave="{00000000-0000-0000-0000-000000000000}"/>
  <bookViews>
    <workbookView xWindow="0" yWindow="800" windowWidth="34200" windowHeight="19720" xr2:uid="{00000000-000D-0000-FFFF-FFFF00000000}"/>
  </bookViews>
  <sheets>
    <sheet name="lafj0rqpysrmixbb" sheetId="1" r:id="rId1"/>
  </sheets>
  <externalReferences>
    <externalReference r:id="rId2"/>
  </externalReferences>
  <definedNames>
    <definedName name="_xlnm._FilterDatabase" localSheetId="0" hidden="1">lafj0rqpysrmixbb!$A$13:$E$13</definedName>
    <definedName name="lafj0rqpysrmixbb">lafj0rqpysrmixbb!$A$13:$E$530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W129" i="1" s="1"/>
  <c r="V130" i="1"/>
  <c r="V131" i="1"/>
  <c r="V132" i="1"/>
  <c r="V133" i="1"/>
  <c r="V134" i="1"/>
  <c r="V135" i="1"/>
  <c r="W135" i="1" s="1"/>
  <c r="V136" i="1"/>
  <c r="W136" i="1" s="1"/>
  <c r="V137" i="1"/>
  <c r="W137" i="1" s="1"/>
  <c r="V138" i="1"/>
  <c r="V139" i="1"/>
  <c r="V140" i="1"/>
  <c r="V141" i="1"/>
  <c r="V142" i="1"/>
  <c r="V143" i="1"/>
  <c r="W143" i="1" s="1"/>
  <c r="V144" i="1"/>
  <c r="W144" i="1" s="1"/>
  <c r="V145" i="1"/>
  <c r="W145" i="1" s="1"/>
  <c r="V146" i="1"/>
  <c r="V147" i="1"/>
  <c r="V148" i="1"/>
  <c r="V149" i="1"/>
  <c r="V150" i="1"/>
  <c r="W150" i="1" s="1"/>
  <c r="V151" i="1"/>
  <c r="V152" i="1"/>
  <c r="W152" i="1" s="1"/>
  <c r="V153" i="1"/>
  <c r="W153" i="1" s="1"/>
  <c r="V154" i="1"/>
  <c r="V155" i="1"/>
  <c r="V156" i="1"/>
  <c r="V157" i="1"/>
  <c r="W157" i="1" s="1"/>
  <c r="V158" i="1"/>
  <c r="V159" i="1"/>
  <c r="V160" i="1"/>
  <c r="W160" i="1" s="1"/>
  <c r="V161" i="1"/>
  <c r="W161" i="1" s="1"/>
  <c r="V162" i="1"/>
  <c r="W162" i="1" s="1"/>
  <c r="V163" i="1"/>
  <c r="W163" i="1" s="1"/>
  <c r="V164" i="1"/>
  <c r="V165" i="1"/>
  <c r="V166" i="1"/>
  <c r="V167" i="1"/>
  <c r="W167" i="1" s="1"/>
  <c r="V168" i="1"/>
  <c r="W168" i="1" s="1"/>
  <c r="V169" i="1"/>
  <c r="W169" i="1" s="1"/>
  <c r="V170" i="1"/>
  <c r="V171" i="1"/>
  <c r="W171" i="1" s="1"/>
  <c r="V172" i="1"/>
  <c r="V173" i="1"/>
  <c r="V174" i="1"/>
  <c r="V175" i="1"/>
  <c r="V176" i="1"/>
  <c r="W176" i="1" s="1"/>
  <c r="V177" i="1"/>
  <c r="W177" i="1" s="1"/>
  <c r="V178" i="1"/>
  <c r="V179" i="1"/>
  <c r="V180" i="1"/>
  <c r="V181" i="1"/>
  <c r="V182" i="1"/>
  <c r="W182" i="1" s="1"/>
  <c r="V183" i="1"/>
  <c r="V184" i="1"/>
  <c r="W184" i="1" s="1"/>
  <c r="V185" i="1"/>
  <c r="W185" i="1" s="1"/>
  <c r="V186" i="1"/>
  <c r="V187" i="1"/>
  <c r="V188" i="1"/>
  <c r="V189" i="1"/>
  <c r="W189" i="1" s="1"/>
  <c r="V190" i="1"/>
  <c r="V191" i="1"/>
  <c r="W191" i="1" s="1"/>
  <c r="V192" i="1"/>
  <c r="W192" i="1" s="1"/>
  <c r="V193" i="1"/>
  <c r="W193" i="1" s="1"/>
  <c r="V194" i="1"/>
  <c r="V195" i="1"/>
  <c r="V196" i="1"/>
  <c r="V197" i="1"/>
  <c r="V198" i="1"/>
  <c r="V199" i="1"/>
  <c r="W199" i="1" s="1"/>
  <c r="V200" i="1"/>
  <c r="W200" i="1" s="1"/>
  <c r="V201" i="1"/>
  <c r="V202" i="1"/>
  <c r="W202" i="1" s="1"/>
  <c r="V203" i="1"/>
  <c r="W203" i="1" s="1"/>
  <c r="V204" i="1"/>
  <c r="V205" i="1"/>
  <c r="V206" i="1"/>
  <c r="V207" i="1"/>
  <c r="V208" i="1"/>
  <c r="V209" i="1"/>
  <c r="W209" i="1" s="1"/>
  <c r="V210" i="1"/>
  <c r="V211" i="1"/>
  <c r="W211" i="1" s="1"/>
  <c r="V212" i="1"/>
  <c r="V213" i="1"/>
  <c r="V214" i="1"/>
  <c r="V215" i="1"/>
  <c r="V216" i="1"/>
  <c r="W216" i="1" s="1"/>
  <c r="V217" i="1"/>
  <c r="W217" i="1" s="1"/>
  <c r="V218" i="1"/>
  <c r="W218" i="1" s="1"/>
  <c r="V219" i="1"/>
  <c r="W219" i="1" s="1"/>
  <c r="V220" i="1"/>
  <c r="V221" i="1"/>
  <c r="V222" i="1"/>
  <c r="W222" i="1" s="1"/>
  <c r="V223" i="1"/>
  <c r="W223" i="1" s="1"/>
  <c r="V224" i="1"/>
  <c r="W224" i="1" s="1"/>
  <c r="V225" i="1"/>
  <c r="W225" i="1" s="1"/>
  <c r="V226" i="1"/>
  <c r="V227" i="1"/>
  <c r="V228" i="1"/>
  <c r="V229" i="1"/>
  <c r="V230" i="1"/>
  <c r="V231" i="1"/>
  <c r="W231" i="1" s="1"/>
  <c r="V232" i="1"/>
  <c r="W232" i="1" s="1"/>
  <c r="V233" i="1"/>
  <c r="W233" i="1" s="1"/>
  <c r="V234" i="1"/>
  <c r="V235" i="1"/>
  <c r="V236" i="1"/>
  <c r="V237" i="1"/>
  <c r="W237" i="1" s="1"/>
  <c r="V238" i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V245" i="1"/>
  <c r="V246" i="1"/>
  <c r="W246" i="1" s="1"/>
  <c r="V247" i="1"/>
  <c r="V248" i="1"/>
  <c r="W248" i="1" s="1"/>
  <c r="V249" i="1"/>
  <c r="W249" i="1" s="1"/>
  <c r="V250" i="1"/>
  <c r="W250" i="1" s="1"/>
  <c r="V251" i="1"/>
  <c r="W251" i="1" s="1"/>
  <c r="V252" i="1"/>
  <c r="V253" i="1"/>
  <c r="V254" i="1"/>
  <c r="V255" i="1"/>
  <c r="W255" i="1" s="1"/>
  <c r="V256" i="1"/>
  <c r="W256" i="1" s="1"/>
  <c r="V257" i="1"/>
  <c r="W257" i="1" s="1"/>
  <c r="V258" i="1"/>
  <c r="V259" i="1"/>
  <c r="V260" i="1"/>
  <c r="V261" i="1"/>
  <c r="V262" i="1"/>
  <c r="V263" i="1"/>
  <c r="V264" i="1"/>
  <c r="W264" i="1" s="1"/>
  <c r="V265" i="1"/>
  <c r="W265" i="1" s="1"/>
  <c r="V266" i="1"/>
  <c r="W266" i="1" s="1"/>
  <c r="V267" i="1"/>
  <c r="W267" i="1" s="1"/>
  <c r="V268" i="1"/>
  <c r="V269" i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V277" i="1"/>
  <c r="V278" i="1"/>
  <c r="V279" i="1"/>
  <c r="W279" i="1" s="1"/>
  <c r="V280" i="1"/>
  <c r="W280" i="1" s="1"/>
  <c r="V281" i="1"/>
  <c r="W281" i="1" s="1"/>
  <c r="V282" i="1"/>
  <c r="W282" i="1" s="1"/>
  <c r="V283" i="1"/>
  <c r="V284" i="1"/>
  <c r="V285" i="1"/>
  <c r="V286" i="1"/>
  <c r="V287" i="1"/>
  <c r="W287" i="1" s="1"/>
  <c r="V288" i="1"/>
  <c r="W288" i="1" s="1"/>
  <c r="V289" i="1"/>
  <c r="W289" i="1" s="1"/>
  <c r="V290" i="1"/>
  <c r="V291" i="1"/>
  <c r="W291" i="1" s="1"/>
  <c r="V292" i="1"/>
  <c r="V293" i="1"/>
  <c r="W293" i="1" s="1"/>
  <c r="V294" i="1"/>
  <c r="W294" i="1" s="1"/>
  <c r="V295" i="1"/>
  <c r="W295" i="1" s="1"/>
  <c r="V296" i="1"/>
  <c r="W296" i="1" s="1"/>
  <c r="V297" i="1"/>
  <c r="V298" i="1"/>
  <c r="V299" i="1"/>
  <c r="W299" i="1" s="1"/>
  <c r="V300" i="1"/>
  <c r="V301" i="1"/>
  <c r="V302" i="1"/>
  <c r="V303" i="1"/>
  <c r="V304" i="1"/>
  <c r="W304" i="1" s="1"/>
  <c r="V305" i="1"/>
  <c r="V306" i="1"/>
  <c r="W306" i="1" s="1"/>
  <c r="V307" i="1"/>
  <c r="V308" i="1"/>
  <c r="V309" i="1"/>
  <c r="V310" i="1"/>
  <c r="V311" i="1"/>
  <c r="W311" i="1" s="1"/>
  <c r="V312" i="1"/>
  <c r="W312" i="1" s="1"/>
  <c r="V313" i="1"/>
  <c r="W313" i="1" s="1"/>
  <c r="V314" i="1"/>
  <c r="V315" i="1"/>
  <c r="W315" i="1" s="1"/>
  <c r="V316" i="1"/>
  <c r="V317" i="1"/>
  <c r="V318" i="1"/>
  <c r="V319" i="1"/>
  <c r="W319" i="1" s="1"/>
  <c r="V320" i="1"/>
  <c r="W320" i="1" s="1"/>
  <c r="V321" i="1"/>
  <c r="W321" i="1" s="1"/>
  <c r="V322" i="1"/>
  <c r="W322" i="1" s="1"/>
  <c r="V323" i="1"/>
  <c r="V324" i="1"/>
  <c r="V325" i="1"/>
  <c r="V326" i="1"/>
  <c r="V327" i="1"/>
  <c r="W327" i="1" s="1"/>
  <c r="V328" i="1"/>
  <c r="W328" i="1" s="1"/>
  <c r="V329" i="1"/>
  <c r="V330" i="1"/>
  <c r="W330" i="1" s="1"/>
  <c r="V331" i="1"/>
  <c r="W331" i="1" s="1"/>
  <c r="V332" i="1"/>
  <c r="V333" i="1"/>
  <c r="V334" i="1"/>
  <c r="W334" i="1" s="1"/>
  <c r="V335" i="1"/>
  <c r="V336" i="1"/>
  <c r="V337" i="1"/>
  <c r="W337" i="1" s="1"/>
  <c r="V338" i="1"/>
  <c r="V339" i="1"/>
  <c r="W339" i="1" s="1"/>
  <c r="V340" i="1"/>
  <c r="V341" i="1"/>
  <c r="V342" i="1"/>
  <c r="V343" i="1"/>
  <c r="V344" i="1"/>
  <c r="W344" i="1" s="1"/>
  <c r="V345" i="1"/>
  <c r="W345" i="1" s="1"/>
  <c r="V346" i="1"/>
  <c r="W346" i="1" s="1"/>
  <c r="V347" i="1"/>
  <c r="W347" i="1" s="1"/>
  <c r="V348" i="1"/>
  <c r="V349" i="1"/>
  <c r="V350" i="1"/>
  <c r="W350" i="1" s="1"/>
  <c r="V351" i="1"/>
  <c r="V352" i="1"/>
  <c r="W352" i="1" s="1"/>
  <c r="V353" i="1"/>
  <c r="W353" i="1" s="1"/>
  <c r="V354" i="1"/>
  <c r="V355" i="1"/>
  <c r="W355" i="1" s="1"/>
  <c r="V356" i="1"/>
  <c r="V357" i="1"/>
  <c r="V358" i="1"/>
  <c r="V359" i="1"/>
  <c r="W359" i="1" s="1"/>
  <c r="V360" i="1"/>
  <c r="V361" i="1"/>
  <c r="V362" i="1"/>
  <c r="V363" i="1"/>
  <c r="V364" i="1"/>
  <c r="V365" i="1"/>
  <c r="V366" i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V373" i="1"/>
  <c r="V374" i="1"/>
  <c r="V375" i="1"/>
  <c r="W375" i="1" s="1"/>
  <c r="V376" i="1"/>
  <c r="W376" i="1" s="1"/>
  <c r="V377" i="1"/>
  <c r="W377" i="1" s="1"/>
  <c r="V378" i="1"/>
  <c r="V379" i="1"/>
  <c r="W379" i="1" s="1"/>
  <c r="V380" i="1"/>
  <c r="V381" i="1"/>
  <c r="V382" i="1"/>
  <c r="V383" i="1"/>
  <c r="W383" i="1" s="1"/>
  <c r="V384" i="1"/>
  <c r="V385" i="1"/>
  <c r="W385" i="1" s="1"/>
  <c r="V386" i="1"/>
  <c r="W386" i="1" s="1"/>
  <c r="V387" i="1"/>
  <c r="W387" i="1" s="1"/>
  <c r="V388" i="1"/>
  <c r="V389" i="1"/>
  <c r="V390" i="1"/>
  <c r="V391" i="1"/>
  <c r="W391" i="1" s="1"/>
  <c r="V392" i="1"/>
  <c r="W392" i="1" s="1"/>
  <c r="V393" i="1"/>
  <c r="W393" i="1" s="1"/>
  <c r="V394" i="1"/>
  <c r="V395" i="1"/>
  <c r="W395" i="1" s="1"/>
  <c r="V396" i="1"/>
  <c r="V397" i="1"/>
  <c r="V398" i="1"/>
  <c r="V399" i="1"/>
  <c r="W399" i="1" s="1"/>
  <c r="V400" i="1"/>
  <c r="W400" i="1" s="1"/>
  <c r="V401" i="1"/>
  <c r="V402" i="1"/>
  <c r="W402" i="1" s="1"/>
  <c r="V403" i="1"/>
  <c r="V404" i="1"/>
  <c r="V405" i="1"/>
  <c r="V406" i="1"/>
  <c r="W406" i="1" s="1"/>
  <c r="V407" i="1"/>
  <c r="V408" i="1"/>
  <c r="W408" i="1" s="1"/>
  <c r="V409" i="1"/>
  <c r="W409" i="1" s="1"/>
  <c r="V410" i="1"/>
  <c r="W410" i="1" s="1"/>
  <c r="V411" i="1"/>
  <c r="V412" i="1"/>
  <c r="V413" i="1"/>
  <c r="V414" i="1"/>
  <c r="V415" i="1"/>
  <c r="W415" i="1" s="1"/>
  <c r="V416" i="1"/>
  <c r="W416" i="1" s="1"/>
  <c r="V417" i="1"/>
  <c r="W417" i="1" s="1"/>
  <c r="V418" i="1"/>
  <c r="V419" i="1"/>
  <c r="V420" i="1"/>
  <c r="V421" i="1"/>
  <c r="V422" i="1"/>
  <c r="V423" i="1"/>
  <c r="V424" i="1"/>
  <c r="W424" i="1" s="1"/>
  <c r="V425" i="1"/>
  <c r="W425" i="1" s="1"/>
  <c r="V426" i="1"/>
  <c r="V427" i="1"/>
  <c r="V428" i="1"/>
  <c r="V429" i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V437" i="1"/>
  <c r="V438" i="1"/>
  <c r="V439" i="1"/>
  <c r="V440" i="1"/>
  <c r="W440" i="1" s="1"/>
  <c r="V441" i="1"/>
  <c r="W441" i="1" s="1"/>
  <c r="V442" i="1"/>
  <c r="W442" i="1" s="1"/>
  <c r="V443" i="1"/>
  <c r="W443" i="1" s="1"/>
  <c r="V444" i="1"/>
  <c r="V445" i="1"/>
  <c r="V446" i="1"/>
  <c r="V447" i="1"/>
  <c r="W447" i="1" s="1"/>
  <c r="V448" i="1"/>
  <c r="W448" i="1" s="1"/>
  <c r="V449" i="1"/>
  <c r="W449" i="1" s="1"/>
  <c r="V450" i="1"/>
  <c r="V451" i="1"/>
  <c r="V452" i="1"/>
  <c r="V453" i="1"/>
  <c r="V454" i="1"/>
  <c r="W454" i="1" s="1"/>
  <c r="V455" i="1"/>
  <c r="W455" i="1" s="1"/>
  <c r="V456" i="1"/>
  <c r="V457" i="1"/>
  <c r="W457" i="1" s="1"/>
  <c r="V458" i="1"/>
  <c r="V459" i="1"/>
  <c r="W459" i="1" s="1"/>
  <c r="V460" i="1"/>
  <c r="V461" i="1"/>
  <c r="V462" i="1"/>
  <c r="V463" i="1"/>
  <c r="V464" i="1"/>
  <c r="W464" i="1" s="1"/>
  <c r="V465" i="1"/>
  <c r="V466" i="1"/>
  <c r="V467" i="1"/>
  <c r="V468" i="1"/>
  <c r="V469" i="1"/>
  <c r="V470" i="1"/>
  <c r="V471" i="1"/>
  <c r="V472" i="1"/>
  <c r="W472" i="1" s="1"/>
  <c r="V473" i="1"/>
  <c r="W473" i="1" s="1"/>
  <c r="V474" i="1"/>
  <c r="W474" i="1" s="1"/>
  <c r="V475" i="1"/>
  <c r="W475" i="1" s="1"/>
  <c r="V476" i="1"/>
  <c r="V477" i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V485" i="1"/>
  <c r="V486" i="1"/>
  <c r="V487" i="1"/>
  <c r="V488" i="1"/>
  <c r="W488" i="1" s="1"/>
  <c r="V489" i="1"/>
  <c r="V490" i="1"/>
  <c r="W490" i="1" s="1"/>
  <c r="V491" i="1"/>
  <c r="W491" i="1" s="1"/>
  <c r="V492" i="1"/>
  <c r="V493" i="1"/>
  <c r="V494" i="1"/>
  <c r="V495" i="1"/>
  <c r="W495" i="1" s="1"/>
  <c r="V496" i="1"/>
  <c r="V497" i="1"/>
  <c r="W497" i="1" s="1"/>
  <c r="V498" i="1"/>
  <c r="W498" i="1" s="1"/>
  <c r="V499" i="1"/>
  <c r="V500" i="1"/>
  <c r="V501" i="1"/>
  <c r="V502" i="1"/>
  <c r="W502" i="1" s="1"/>
  <c r="V503" i="1"/>
  <c r="V504" i="1"/>
  <c r="V505" i="1"/>
  <c r="W505" i="1" s="1"/>
  <c r="V506" i="1"/>
  <c r="W506" i="1" s="1"/>
  <c r="V507" i="1"/>
  <c r="W507" i="1" s="1"/>
  <c r="V508" i="1"/>
  <c r="V509" i="1"/>
  <c r="V510" i="1"/>
  <c r="V511" i="1"/>
  <c r="W511" i="1" s="1"/>
  <c r="V512" i="1"/>
  <c r="W512" i="1" s="1"/>
  <c r="V513" i="1"/>
  <c r="W513" i="1" s="1"/>
  <c r="V514" i="1"/>
  <c r="V515" i="1"/>
  <c r="W515" i="1" s="1"/>
  <c r="V516" i="1"/>
  <c r="V517" i="1"/>
  <c r="V518" i="1"/>
  <c r="V519" i="1"/>
  <c r="W519" i="1" s="1"/>
  <c r="V520" i="1"/>
  <c r="W520" i="1" s="1"/>
  <c r="V521" i="1"/>
  <c r="W521" i="1" s="1"/>
  <c r="V522" i="1"/>
  <c r="V523" i="1"/>
  <c r="W523" i="1" s="1"/>
  <c r="V524" i="1"/>
  <c r="V525" i="1"/>
  <c r="V526" i="1"/>
  <c r="W526" i="1" s="1"/>
  <c r="V527" i="1"/>
  <c r="V528" i="1"/>
  <c r="W528" i="1" s="1"/>
  <c r="V529" i="1"/>
  <c r="V530" i="1"/>
  <c r="W530" i="1" s="1"/>
  <c r="V531" i="1"/>
  <c r="W531" i="1" s="1"/>
  <c r="V532" i="1"/>
  <c r="V15" i="1"/>
  <c r="W141" i="1"/>
  <c r="W146" i="1"/>
  <c r="W147" i="1"/>
  <c r="W149" i="1"/>
  <c r="W165" i="1"/>
  <c r="W170" i="1"/>
  <c r="W173" i="1"/>
  <c r="W181" i="1"/>
  <c r="W183" i="1"/>
  <c r="W186" i="1"/>
  <c r="W196" i="1"/>
  <c r="W197" i="1"/>
  <c r="W201" i="1"/>
  <c r="W204" i="1"/>
  <c r="W205" i="1"/>
  <c r="W212" i="1"/>
  <c r="W213" i="1"/>
  <c r="W221" i="1"/>
  <c r="W226" i="1"/>
  <c r="W227" i="1"/>
  <c r="W229" i="1"/>
  <c r="W245" i="1"/>
  <c r="W253" i="1"/>
  <c r="W259" i="1"/>
  <c r="W261" i="1"/>
  <c r="W268" i="1"/>
  <c r="W269" i="1"/>
  <c r="W276" i="1"/>
  <c r="W277" i="1"/>
  <c r="W283" i="1"/>
  <c r="W284" i="1"/>
  <c r="W285" i="1"/>
  <c r="W298" i="1"/>
  <c r="W305" i="1"/>
  <c r="W307" i="1"/>
  <c r="W309" i="1"/>
  <c r="W317" i="1"/>
  <c r="W323" i="1"/>
  <c r="W325" i="1"/>
  <c r="W329" i="1"/>
  <c r="W333" i="1"/>
  <c r="W341" i="1"/>
  <c r="W348" i="1"/>
  <c r="W349" i="1"/>
  <c r="W354" i="1"/>
  <c r="W357" i="1"/>
  <c r="W363" i="1"/>
  <c r="W364" i="1"/>
  <c r="W373" i="1"/>
  <c r="W378" i="1"/>
  <c r="W380" i="1"/>
  <c r="W381" i="1"/>
  <c r="W388" i="1"/>
  <c r="W389" i="1"/>
  <c r="W396" i="1"/>
  <c r="W397" i="1"/>
  <c r="W401" i="1"/>
  <c r="W403" i="1"/>
  <c r="W404" i="1"/>
  <c r="W405" i="1"/>
  <c r="W412" i="1"/>
  <c r="W413" i="1"/>
  <c r="W418" i="1"/>
  <c r="W419" i="1"/>
  <c r="W420" i="1"/>
  <c r="W421" i="1"/>
  <c r="W436" i="1"/>
  <c r="W437" i="1"/>
  <c r="W445" i="1"/>
  <c r="W451" i="1"/>
  <c r="W452" i="1"/>
  <c r="W453" i="1"/>
  <c r="W460" i="1"/>
  <c r="W461" i="1"/>
  <c r="W466" i="1"/>
  <c r="W467" i="1"/>
  <c r="W468" i="1"/>
  <c r="W469" i="1"/>
  <c r="W476" i="1"/>
  <c r="W477" i="1"/>
  <c r="W484" i="1"/>
  <c r="W485" i="1"/>
  <c r="W489" i="1"/>
  <c r="W499" i="1"/>
  <c r="W500" i="1"/>
  <c r="W501" i="1"/>
  <c r="W508" i="1"/>
  <c r="W509" i="1"/>
  <c r="W516" i="1"/>
  <c r="W517" i="1"/>
  <c r="W522" i="1"/>
  <c r="W524" i="1"/>
  <c r="W525" i="1"/>
  <c r="W532" i="1"/>
  <c r="W151" i="1"/>
  <c r="W159" i="1"/>
  <c r="W175" i="1"/>
  <c r="W207" i="1"/>
  <c r="W208" i="1"/>
  <c r="W215" i="1"/>
  <c r="W247" i="1"/>
  <c r="W263" i="1"/>
  <c r="W297" i="1"/>
  <c r="W301" i="1"/>
  <c r="W303" i="1"/>
  <c r="W335" i="1"/>
  <c r="W343" i="1"/>
  <c r="W351" i="1"/>
  <c r="W365" i="1"/>
  <c r="W390" i="1"/>
  <c r="W398" i="1"/>
  <c r="W407" i="1"/>
  <c r="W414" i="1"/>
  <c r="W422" i="1"/>
  <c r="W423" i="1"/>
  <c r="W438" i="1"/>
  <c r="W439" i="1"/>
  <c r="W446" i="1"/>
  <c r="W462" i="1"/>
  <c r="W463" i="1"/>
  <c r="W465" i="1"/>
  <c r="W470" i="1"/>
  <c r="W471" i="1"/>
  <c r="W486" i="1"/>
  <c r="W487" i="1"/>
  <c r="W494" i="1"/>
  <c r="W503" i="1"/>
  <c r="W510" i="1"/>
  <c r="W518" i="1"/>
  <c r="W527" i="1"/>
  <c r="W529" i="1"/>
  <c r="S14" i="1"/>
  <c r="P14" i="1"/>
  <c r="T73" i="1"/>
  <c r="T81" i="1"/>
  <c r="T89" i="1"/>
  <c r="T97" i="1"/>
  <c r="T105" i="1"/>
  <c r="T113" i="1"/>
  <c r="T121" i="1"/>
  <c r="T129" i="1"/>
  <c r="T136" i="1"/>
  <c r="T137" i="1"/>
  <c r="T138" i="1"/>
  <c r="T143" i="1"/>
  <c r="T144" i="1"/>
  <c r="T145" i="1"/>
  <c r="T146" i="1"/>
  <c r="T153" i="1"/>
  <c r="T154" i="1"/>
  <c r="T159" i="1"/>
  <c r="T160" i="1"/>
  <c r="T161" i="1"/>
  <c r="T162" i="1"/>
  <c r="T168" i="1"/>
  <c r="T169" i="1"/>
  <c r="T170" i="1"/>
  <c r="T176" i="1"/>
  <c r="T177" i="1"/>
  <c r="T178" i="1"/>
  <c r="T185" i="1"/>
  <c r="T186" i="1"/>
  <c r="T191" i="1"/>
  <c r="T192" i="1"/>
  <c r="T193" i="1"/>
  <c r="T194" i="1"/>
  <c r="T200" i="1"/>
  <c r="T201" i="1"/>
  <c r="T202" i="1"/>
  <c r="T208" i="1"/>
  <c r="T209" i="1"/>
  <c r="T210" i="1"/>
  <c r="T217" i="1"/>
  <c r="T218" i="1"/>
  <c r="T223" i="1"/>
  <c r="T224" i="1"/>
  <c r="T225" i="1"/>
  <c r="T226" i="1"/>
  <c r="T232" i="1"/>
  <c r="T233" i="1"/>
  <c r="T234" i="1"/>
  <c r="T240" i="1"/>
  <c r="T241" i="1"/>
  <c r="T242" i="1"/>
  <c r="T249" i="1"/>
  <c r="T250" i="1"/>
  <c r="T255" i="1"/>
  <c r="T256" i="1"/>
  <c r="T257" i="1"/>
  <c r="T258" i="1"/>
  <c r="T264" i="1"/>
  <c r="T265" i="1"/>
  <c r="T266" i="1"/>
  <c r="T267" i="1"/>
  <c r="T272" i="1"/>
  <c r="T273" i="1"/>
  <c r="T274" i="1"/>
  <c r="T281" i="1"/>
  <c r="T282" i="1"/>
  <c r="T287" i="1"/>
  <c r="T288" i="1"/>
  <c r="T289" i="1"/>
  <c r="T290" i="1"/>
  <c r="T296" i="1"/>
  <c r="T297" i="1"/>
  <c r="T298" i="1"/>
  <c r="T299" i="1"/>
  <c r="T304" i="1"/>
  <c r="T305" i="1"/>
  <c r="T306" i="1"/>
  <c r="T313" i="1"/>
  <c r="T314" i="1"/>
  <c r="T319" i="1"/>
  <c r="T320" i="1"/>
  <c r="T321" i="1"/>
  <c r="T322" i="1"/>
  <c r="T328" i="1"/>
  <c r="T329" i="1"/>
  <c r="T330" i="1"/>
  <c r="T331" i="1"/>
  <c r="T336" i="1"/>
  <c r="T337" i="1"/>
  <c r="T338" i="1"/>
  <c r="T345" i="1"/>
  <c r="T347" i="1"/>
  <c r="T351" i="1"/>
  <c r="T352" i="1"/>
  <c r="T353" i="1"/>
  <c r="T359" i="1"/>
  <c r="T360" i="1"/>
  <c r="T361" i="1"/>
  <c r="T367" i="1"/>
  <c r="T368" i="1"/>
  <c r="T369" i="1"/>
  <c r="T376" i="1"/>
  <c r="T377" i="1"/>
  <c r="T379" i="1"/>
  <c r="T383" i="1"/>
  <c r="T384" i="1"/>
  <c r="T385" i="1"/>
  <c r="T387" i="1"/>
  <c r="T392" i="1"/>
  <c r="T393" i="1"/>
  <c r="T395" i="1"/>
  <c r="T401" i="1"/>
  <c r="T409" i="1"/>
  <c r="T411" i="1"/>
  <c r="T415" i="1"/>
  <c r="T416" i="1"/>
  <c r="T417" i="1"/>
  <c r="T423" i="1"/>
  <c r="T424" i="1"/>
  <c r="T425" i="1"/>
  <c r="T431" i="1"/>
  <c r="T432" i="1"/>
  <c r="T433" i="1"/>
  <c r="T440" i="1"/>
  <c r="T441" i="1"/>
  <c r="T443" i="1"/>
  <c r="T447" i="1"/>
  <c r="T448" i="1"/>
  <c r="T449" i="1"/>
  <c r="T451" i="1"/>
  <c r="T456" i="1"/>
  <c r="T457" i="1"/>
  <c r="T459" i="1"/>
  <c r="T465" i="1"/>
  <c r="T473" i="1"/>
  <c r="T475" i="1"/>
  <c r="T479" i="1"/>
  <c r="T480" i="1"/>
  <c r="T481" i="1"/>
  <c r="T487" i="1"/>
  <c r="T488" i="1"/>
  <c r="T489" i="1"/>
  <c r="T495" i="1"/>
  <c r="T496" i="1"/>
  <c r="T497" i="1"/>
  <c r="T503" i="1"/>
  <c r="T504" i="1"/>
  <c r="T505" i="1"/>
  <c r="T507" i="1"/>
  <c r="T511" i="1"/>
  <c r="T512" i="1"/>
  <c r="T513" i="1"/>
  <c r="T515" i="1"/>
  <c r="T520" i="1"/>
  <c r="T521" i="1"/>
  <c r="T523" i="1"/>
  <c r="T529" i="1"/>
  <c r="T15" i="1"/>
  <c r="M14" i="1"/>
  <c r="N14" i="1" s="1"/>
  <c r="Q73" i="1"/>
  <c r="Q128" i="1"/>
  <c r="Q135" i="1"/>
  <c r="Q138" i="1"/>
  <c r="Q140" i="1"/>
  <c r="Q142" i="1"/>
  <c r="Q146" i="1"/>
  <c r="Q154" i="1"/>
  <c r="Q157" i="1"/>
  <c r="Q162" i="1"/>
  <c r="Q170" i="1"/>
  <c r="Q178" i="1"/>
  <c r="Q186" i="1"/>
  <c r="Q194" i="1"/>
  <c r="Q202" i="1"/>
  <c r="Q210" i="1"/>
  <c r="Q218" i="1"/>
  <c r="Q226" i="1"/>
  <c r="Q234" i="1"/>
  <c r="Q242" i="1"/>
  <c r="Q250" i="1"/>
  <c r="Q258" i="1"/>
  <c r="Q266" i="1"/>
  <c r="Q274" i="1"/>
  <c r="Q282" i="1"/>
  <c r="Q290" i="1"/>
  <c r="Q298" i="1"/>
  <c r="Q306" i="1"/>
  <c r="Q314" i="1"/>
  <c r="Q322" i="1"/>
  <c r="Q330" i="1"/>
  <c r="Q338" i="1"/>
  <c r="Q346" i="1"/>
  <c r="Q354" i="1"/>
  <c r="Q362" i="1"/>
  <c r="Q370" i="1"/>
  <c r="Q378" i="1"/>
  <c r="Q386" i="1"/>
  <c r="Q394" i="1"/>
  <c r="Q402" i="1"/>
  <c r="Q410" i="1"/>
  <c r="Q418" i="1"/>
  <c r="Q426" i="1"/>
  <c r="Q434" i="1"/>
  <c r="Q442" i="1"/>
  <c r="Q450" i="1"/>
  <c r="Q458" i="1"/>
  <c r="Q466" i="1"/>
  <c r="Q474" i="1"/>
  <c r="Q482" i="1"/>
  <c r="Q490" i="1"/>
  <c r="Q498" i="1"/>
  <c r="Q506" i="1"/>
  <c r="Q514" i="1"/>
  <c r="Q522" i="1"/>
  <c r="Q530" i="1"/>
  <c r="Q15" i="1"/>
  <c r="J14" i="1"/>
  <c r="N137" i="1"/>
  <c r="N143" i="1"/>
  <c r="N145" i="1"/>
  <c r="N151" i="1"/>
  <c r="N153" i="1"/>
  <c r="N159" i="1"/>
  <c r="N161" i="1"/>
  <c r="N167" i="1"/>
  <c r="N168" i="1"/>
  <c r="N169" i="1"/>
  <c r="N175" i="1"/>
  <c r="N176" i="1"/>
  <c r="N177" i="1"/>
  <c r="N183" i="1"/>
  <c r="N184" i="1"/>
  <c r="N185" i="1"/>
  <c r="N191" i="1"/>
  <c r="N192" i="1"/>
  <c r="N193" i="1"/>
  <c r="N199" i="1"/>
  <c r="N200" i="1"/>
  <c r="N207" i="1"/>
  <c r="N208" i="1"/>
  <c r="N209" i="1"/>
  <c r="N215" i="1"/>
  <c r="N216" i="1"/>
  <c r="N217" i="1"/>
  <c r="N223" i="1"/>
  <c r="N224" i="1"/>
  <c r="N225" i="1"/>
  <c r="N231" i="1"/>
  <c r="N232" i="1"/>
  <c r="N239" i="1"/>
  <c r="N240" i="1"/>
  <c r="N241" i="1"/>
  <c r="N247" i="1"/>
  <c r="N248" i="1"/>
  <c r="N249" i="1"/>
  <c r="N255" i="1"/>
  <c r="N256" i="1"/>
  <c r="N257" i="1"/>
  <c r="N263" i="1"/>
  <c r="N264" i="1"/>
  <c r="N265" i="1"/>
  <c r="N271" i="1"/>
  <c r="N272" i="1"/>
  <c r="N273" i="1"/>
  <c r="N279" i="1"/>
  <c r="N280" i="1"/>
  <c r="N281" i="1"/>
  <c r="N287" i="1"/>
  <c r="N288" i="1"/>
  <c r="N289" i="1"/>
  <c r="N295" i="1"/>
  <c r="N296" i="1"/>
  <c r="N303" i="1"/>
  <c r="N305" i="1"/>
  <c r="N311" i="1"/>
  <c r="N313" i="1"/>
  <c r="N319" i="1"/>
  <c r="N321" i="1"/>
  <c r="N327" i="1"/>
  <c r="N329" i="1"/>
  <c r="N335" i="1"/>
  <c r="N337" i="1"/>
  <c r="N343" i="1"/>
  <c r="N345" i="1"/>
  <c r="N346" i="1"/>
  <c r="N351" i="1"/>
  <c r="N353" i="1"/>
  <c r="N359" i="1"/>
  <c r="N367" i="1"/>
  <c r="N369" i="1"/>
  <c r="N375" i="1"/>
  <c r="N377" i="1"/>
  <c r="N383" i="1"/>
  <c r="N385" i="1"/>
  <c r="N390" i="1"/>
  <c r="N391" i="1"/>
  <c r="N392" i="1"/>
  <c r="N393" i="1"/>
  <c r="N398" i="1"/>
  <c r="N399" i="1"/>
  <c r="N401" i="1"/>
  <c r="N406" i="1"/>
  <c r="N407" i="1"/>
  <c r="N408" i="1"/>
  <c r="N409" i="1"/>
  <c r="N414" i="1"/>
  <c r="N415" i="1"/>
  <c r="N416" i="1"/>
  <c r="N417" i="1"/>
  <c r="N422" i="1"/>
  <c r="N423" i="1"/>
  <c r="N424" i="1"/>
  <c r="N425" i="1"/>
  <c r="N430" i="1"/>
  <c r="N431" i="1"/>
  <c r="N433" i="1"/>
  <c r="N438" i="1"/>
  <c r="N439" i="1"/>
  <c r="N440" i="1"/>
  <c r="N441" i="1"/>
  <c r="N446" i="1"/>
  <c r="N447" i="1"/>
  <c r="N448" i="1"/>
  <c r="N449" i="1"/>
  <c r="N454" i="1"/>
  <c r="N455" i="1"/>
  <c r="N456" i="1"/>
  <c r="N457" i="1"/>
  <c r="N462" i="1"/>
  <c r="N463" i="1"/>
  <c r="N465" i="1"/>
  <c r="N470" i="1"/>
  <c r="N471" i="1"/>
  <c r="N472" i="1"/>
  <c r="N473" i="1"/>
  <c r="N478" i="1"/>
  <c r="N479" i="1"/>
  <c r="N480" i="1"/>
  <c r="N481" i="1"/>
  <c r="N486" i="1"/>
  <c r="N487" i="1"/>
  <c r="N488" i="1"/>
  <c r="N489" i="1"/>
  <c r="N494" i="1"/>
  <c r="N495" i="1"/>
  <c r="N497" i="1"/>
  <c r="N502" i="1"/>
  <c r="N503" i="1"/>
  <c r="N504" i="1"/>
  <c r="N505" i="1"/>
  <c r="N510" i="1"/>
  <c r="N511" i="1"/>
  <c r="N512" i="1"/>
  <c r="N513" i="1"/>
  <c r="N518" i="1"/>
  <c r="N519" i="1"/>
  <c r="N520" i="1"/>
  <c r="N521" i="1"/>
  <c r="N526" i="1"/>
  <c r="N527" i="1"/>
  <c r="N529" i="1"/>
  <c r="N15" i="1"/>
  <c r="K14" i="1"/>
  <c r="K10" i="1" s="1"/>
  <c r="G14" i="1"/>
  <c r="K73" i="1"/>
  <c r="K81" i="1"/>
  <c r="K89" i="1"/>
  <c r="K97" i="1"/>
  <c r="K105" i="1"/>
  <c r="K113" i="1"/>
  <c r="K121" i="1"/>
  <c r="K128" i="1"/>
  <c r="K129" i="1"/>
  <c r="K135" i="1"/>
  <c r="K137" i="1"/>
  <c r="K138" i="1"/>
  <c r="K139" i="1"/>
  <c r="K142" i="1"/>
  <c r="K146" i="1"/>
  <c r="K147" i="1"/>
  <c r="K154" i="1"/>
  <c r="K155" i="1"/>
  <c r="K157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K363" i="1"/>
  <c r="K371" i="1"/>
  <c r="K379" i="1"/>
  <c r="K387" i="1"/>
  <c r="K395" i="1"/>
  <c r="K403" i="1"/>
  <c r="K411" i="1"/>
  <c r="K419" i="1"/>
  <c r="K427" i="1"/>
  <c r="K435" i="1"/>
  <c r="K443" i="1"/>
  <c r="K451" i="1"/>
  <c r="K459" i="1"/>
  <c r="K467" i="1"/>
  <c r="K475" i="1"/>
  <c r="K483" i="1"/>
  <c r="K491" i="1"/>
  <c r="K499" i="1"/>
  <c r="K507" i="1"/>
  <c r="K515" i="1"/>
  <c r="K523" i="1"/>
  <c r="K531" i="1"/>
  <c r="K15" i="1"/>
  <c r="H19" i="1"/>
  <c r="H20" i="1"/>
  <c r="H9" i="1"/>
  <c r="H106" i="1"/>
  <c r="H114" i="1"/>
  <c r="H122" i="1"/>
  <c r="H130" i="1"/>
  <c r="H136" i="1"/>
  <c r="H137" i="1"/>
  <c r="H138" i="1"/>
  <c r="H141" i="1"/>
  <c r="H146" i="1"/>
  <c r="H154" i="1"/>
  <c r="H157" i="1"/>
  <c r="H162" i="1"/>
  <c r="H165" i="1"/>
  <c r="H170" i="1"/>
  <c r="H173" i="1"/>
  <c r="H178" i="1"/>
  <c r="H181" i="1"/>
  <c r="H186" i="1"/>
  <c r="H189" i="1"/>
  <c r="H194" i="1"/>
  <c r="H197" i="1"/>
  <c r="H202" i="1"/>
  <c r="H205" i="1"/>
  <c r="H210" i="1"/>
  <c r="H213" i="1"/>
  <c r="H218" i="1"/>
  <c r="H221" i="1"/>
  <c r="H226" i="1"/>
  <c r="H229" i="1"/>
  <c r="H234" i="1"/>
  <c r="H237" i="1"/>
  <c r="H242" i="1"/>
  <c r="H245" i="1"/>
  <c r="H250" i="1"/>
  <c r="H253" i="1"/>
  <c r="H258" i="1"/>
  <c r="H261" i="1"/>
  <c r="H266" i="1"/>
  <c r="H269" i="1"/>
  <c r="H274" i="1"/>
  <c r="H277" i="1"/>
  <c r="H282" i="1"/>
  <c r="H285" i="1"/>
  <c r="H290" i="1"/>
  <c r="H293" i="1"/>
  <c r="H298" i="1"/>
  <c r="H301" i="1"/>
  <c r="H306" i="1"/>
  <c r="H309" i="1"/>
  <c r="H314" i="1"/>
  <c r="H317" i="1"/>
  <c r="H322" i="1"/>
  <c r="H325" i="1"/>
  <c r="H330" i="1"/>
  <c r="H333" i="1"/>
  <c r="H338" i="1"/>
  <c r="H339" i="1"/>
  <c r="H341" i="1"/>
  <c r="H346" i="1"/>
  <c r="H347" i="1"/>
  <c r="H349" i="1"/>
  <c r="H354" i="1"/>
  <c r="H355" i="1"/>
  <c r="H357" i="1"/>
  <c r="H362" i="1"/>
  <c r="H363" i="1"/>
  <c r="H365" i="1"/>
  <c r="H370" i="1"/>
  <c r="H371" i="1"/>
  <c r="H373" i="1"/>
  <c r="H378" i="1"/>
  <c r="H379" i="1"/>
  <c r="H381" i="1"/>
  <c r="H386" i="1"/>
  <c r="H387" i="1"/>
  <c r="H389" i="1"/>
  <c r="H394" i="1"/>
  <c r="H395" i="1"/>
  <c r="H397" i="1"/>
  <c r="H402" i="1"/>
  <c r="H403" i="1"/>
  <c r="H405" i="1"/>
  <c r="H410" i="1"/>
  <c r="H411" i="1"/>
  <c r="H413" i="1"/>
  <c r="H418" i="1"/>
  <c r="H419" i="1"/>
  <c r="H421" i="1"/>
  <c r="H426" i="1"/>
  <c r="H427" i="1"/>
  <c r="H429" i="1"/>
  <c r="H434" i="1"/>
  <c r="H435" i="1"/>
  <c r="H437" i="1"/>
  <c r="H442" i="1"/>
  <c r="H443" i="1"/>
  <c r="H445" i="1"/>
  <c r="H450" i="1"/>
  <c r="H451" i="1"/>
  <c r="H453" i="1"/>
  <c r="H458" i="1"/>
  <c r="H459" i="1"/>
  <c r="H461" i="1"/>
  <c r="H466" i="1"/>
  <c r="H467" i="1"/>
  <c r="H469" i="1"/>
  <c r="H474" i="1"/>
  <c r="H475" i="1"/>
  <c r="H477" i="1"/>
  <c r="H482" i="1"/>
  <c r="H483" i="1"/>
  <c r="H485" i="1"/>
  <c r="H490" i="1"/>
  <c r="H491" i="1"/>
  <c r="H493" i="1"/>
  <c r="H498" i="1"/>
  <c r="H499" i="1"/>
  <c r="H501" i="1"/>
  <c r="H506" i="1"/>
  <c r="H507" i="1"/>
  <c r="H509" i="1"/>
  <c r="H514" i="1"/>
  <c r="H515" i="1"/>
  <c r="H517" i="1"/>
  <c r="H522" i="1"/>
  <c r="H523" i="1"/>
  <c r="H525" i="1"/>
  <c r="H530" i="1"/>
  <c r="H531" i="1"/>
  <c r="H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30" i="1"/>
  <c r="W131" i="1"/>
  <c r="W132" i="1"/>
  <c r="W133" i="1"/>
  <c r="W134" i="1"/>
  <c r="W138" i="1"/>
  <c r="W139" i="1"/>
  <c r="W140" i="1"/>
  <c r="W142" i="1"/>
  <c r="W148" i="1"/>
  <c r="W154" i="1"/>
  <c r="W155" i="1"/>
  <c r="W156" i="1"/>
  <c r="W158" i="1"/>
  <c r="W164" i="1"/>
  <c r="W166" i="1"/>
  <c r="W172" i="1"/>
  <c r="W174" i="1"/>
  <c r="W178" i="1"/>
  <c r="W179" i="1"/>
  <c r="W180" i="1"/>
  <c r="W187" i="1"/>
  <c r="W188" i="1"/>
  <c r="W190" i="1"/>
  <c r="W194" i="1"/>
  <c r="W195" i="1"/>
  <c r="W198" i="1"/>
  <c r="W206" i="1"/>
  <c r="W210" i="1"/>
  <c r="W214" i="1"/>
  <c r="W220" i="1"/>
  <c r="W228" i="1"/>
  <c r="W230" i="1"/>
  <c r="W234" i="1"/>
  <c r="W235" i="1"/>
  <c r="W236" i="1"/>
  <c r="W238" i="1"/>
  <c r="W244" i="1"/>
  <c r="W252" i="1"/>
  <c r="W254" i="1"/>
  <c r="W258" i="1"/>
  <c r="W260" i="1"/>
  <c r="W262" i="1"/>
  <c r="W278" i="1"/>
  <c r="W286" i="1"/>
  <c r="W290" i="1"/>
  <c r="W292" i="1"/>
  <c r="W300" i="1"/>
  <c r="W302" i="1"/>
  <c r="W308" i="1"/>
  <c r="W310" i="1"/>
  <c r="W314" i="1"/>
  <c r="W316" i="1"/>
  <c r="W318" i="1"/>
  <c r="W324" i="1"/>
  <c r="W326" i="1"/>
  <c r="W332" i="1"/>
  <c r="W336" i="1"/>
  <c r="W338" i="1"/>
  <c r="W340" i="1"/>
  <c r="W342" i="1"/>
  <c r="W356" i="1"/>
  <c r="W358" i="1"/>
  <c r="W360" i="1"/>
  <c r="W361" i="1"/>
  <c r="W362" i="1"/>
  <c r="W366" i="1"/>
  <c r="W372" i="1"/>
  <c r="W374" i="1"/>
  <c r="W382" i="1"/>
  <c r="W384" i="1"/>
  <c r="W394" i="1"/>
  <c r="W411" i="1"/>
  <c r="W426" i="1"/>
  <c r="W427" i="1"/>
  <c r="W428" i="1"/>
  <c r="W429" i="1"/>
  <c r="W444" i="1"/>
  <c r="W450" i="1"/>
  <c r="W456" i="1"/>
  <c r="W458" i="1"/>
  <c r="W492" i="1"/>
  <c r="W493" i="1"/>
  <c r="W496" i="1"/>
  <c r="W504" i="1"/>
  <c r="W514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4" i="1"/>
  <c r="T75" i="1"/>
  <c r="T76" i="1"/>
  <c r="T77" i="1"/>
  <c r="T78" i="1"/>
  <c r="T79" i="1"/>
  <c r="T80" i="1"/>
  <c r="T82" i="1"/>
  <c r="T83" i="1"/>
  <c r="T84" i="1"/>
  <c r="T85" i="1"/>
  <c r="T86" i="1"/>
  <c r="T87" i="1"/>
  <c r="T88" i="1"/>
  <c r="T90" i="1"/>
  <c r="T91" i="1"/>
  <c r="T92" i="1"/>
  <c r="T93" i="1"/>
  <c r="T94" i="1"/>
  <c r="T95" i="1"/>
  <c r="T96" i="1"/>
  <c r="T98" i="1"/>
  <c r="T99" i="1"/>
  <c r="T100" i="1"/>
  <c r="T101" i="1"/>
  <c r="T102" i="1"/>
  <c r="T103" i="1"/>
  <c r="T104" i="1"/>
  <c r="T106" i="1"/>
  <c r="T107" i="1"/>
  <c r="T108" i="1"/>
  <c r="T109" i="1"/>
  <c r="T110" i="1"/>
  <c r="T111" i="1"/>
  <c r="T112" i="1"/>
  <c r="T114" i="1"/>
  <c r="T115" i="1"/>
  <c r="T116" i="1"/>
  <c r="T117" i="1"/>
  <c r="T118" i="1"/>
  <c r="T119" i="1"/>
  <c r="T120" i="1"/>
  <c r="T122" i="1"/>
  <c r="T123" i="1"/>
  <c r="T124" i="1"/>
  <c r="T125" i="1"/>
  <c r="T126" i="1"/>
  <c r="T127" i="1"/>
  <c r="T128" i="1"/>
  <c r="T130" i="1"/>
  <c r="T131" i="1"/>
  <c r="T132" i="1"/>
  <c r="T133" i="1"/>
  <c r="T134" i="1"/>
  <c r="T135" i="1"/>
  <c r="T139" i="1"/>
  <c r="T140" i="1"/>
  <c r="T141" i="1"/>
  <c r="T142" i="1"/>
  <c r="T147" i="1"/>
  <c r="T148" i="1"/>
  <c r="T149" i="1"/>
  <c r="T150" i="1"/>
  <c r="T151" i="1"/>
  <c r="T152" i="1"/>
  <c r="T155" i="1"/>
  <c r="T156" i="1"/>
  <c r="T157" i="1"/>
  <c r="T158" i="1"/>
  <c r="T163" i="1"/>
  <c r="T164" i="1"/>
  <c r="T165" i="1"/>
  <c r="T166" i="1"/>
  <c r="T167" i="1"/>
  <c r="T171" i="1"/>
  <c r="T172" i="1"/>
  <c r="T173" i="1"/>
  <c r="T174" i="1"/>
  <c r="T175" i="1"/>
  <c r="T179" i="1"/>
  <c r="T180" i="1"/>
  <c r="T181" i="1"/>
  <c r="T182" i="1"/>
  <c r="T183" i="1"/>
  <c r="T184" i="1"/>
  <c r="T187" i="1"/>
  <c r="T188" i="1"/>
  <c r="T189" i="1"/>
  <c r="T190" i="1"/>
  <c r="T195" i="1"/>
  <c r="T196" i="1"/>
  <c r="T197" i="1"/>
  <c r="T198" i="1"/>
  <c r="T199" i="1"/>
  <c r="T203" i="1"/>
  <c r="T204" i="1"/>
  <c r="T205" i="1"/>
  <c r="T206" i="1"/>
  <c r="T207" i="1"/>
  <c r="T211" i="1"/>
  <c r="T212" i="1"/>
  <c r="T213" i="1"/>
  <c r="T214" i="1"/>
  <c r="T215" i="1"/>
  <c r="T216" i="1"/>
  <c r="T219" i="1"/>
  <c r="T220" i="1"/>
  <c r="T221" i="1"/>
  <c r="T222" i="1"/>
  <c r="T227" i="1"/>
  <c r="T228" i="1"/>
  <c r="T229" i="1"/>
  <c r="T230" i="1"/>
  <c r="T231" i="1"/>
  <c r="T235" i="1"/>
  <c r="T236" i="1"/>
  <c r="T237" i="1"/>
  <c r="T238" i="1"/>
  <c r="T239" i="1"/>
  <c r="T243" i="1"/>
  <c r="T244" i="1"/>
  <c r="T245" i="1"/>
  <c r="T246" i="1"/>
  <c r="T247" i="1"/>
  <c r="T248" i="1"/>
  <c r="T251" i="1"/>
  <c r="T252" i="1"/>
  <c r="T253" i="1"/>
  <c r="T254" i="1"/>
  <c r="T259" i="1"/>
  <c r="T260" i="1"/>
  <c r="T261" i="1"/>
  <c r="T262" i="1"/>
  <c r="T263" i="1"/>
  <c r="T268" i="1"/>
  <c r="T269" i="1"/>
  <c r="T270" i="1"/>
  <c r="T271" i="1"/>
  <c r="T275" i="1"/>
  <c r="T276" i="1"/>
  <c r="T277" i="1"/>
  <c r="T278" i="1"/>
  <c r="T279" i="1"/>
  <c r="T280" i="1"/>
  <c r="T283" i="1"/>
  <c r="T284" i="1"/>
  <c r="T285" i="1"/>
  <c r="T286" i="1"/>
  <c r="T291" i="1"/>
  <c r="T292" i="1"/>
  <c r="T293" i="1"/>
  <c r="T294" i="1"/>
  <c r="T295" i="1"/>
  <c r="T300" i="1"/>
  <c r="T301" i="1"/>
  <c r="T302" i="1"/>
  <c r="T303" i="1"/>
  <c r="T307" i="1"/>
  <c r="T308" i="1"/>
  <c r="T309" i="1"/>
  <c r="T310" i="1"/>
  <c r="T311" i="1"/>
  <c r="T312" i="1"/>
  <c r="T315" i="1"/>
  <c r="T316" i="1"/>
  <c r="T317" i="1"/>
  <c r="T318" i="1"/>
  <c r="T323" i="1"/>
  <c r="T324" i="1"/>
  <c r="T325" i="1"/>
  <c r="T326" i="1"/>
  <c r="T327" i="1"/>
  <c r="T332" i="1"/>
  <c r="T333" i="1"/>
  <c r="T334" i="1"/>
  <c r="T335" i="1"/>
  <c r="T339" i="1"/>
  <c r="T340" i="1"/>
  <c r="T341" i="1"/>
  <c r="T342" i="1"/>
  <c r="T343" i="1"/>
  <c r="T344" i="1"/>
  <c r="T346" i="1"/>
  <c r="T348" i="1"/>
  <c r="T349" i="1"/>
  <c r="T350" i="1"/>
  <c r="T354" i="1"/>
  <c r="T355" i="1"/>
  <c r="T356" i="1"/>
  <c r="T357" i="1"/>
  <c r="T358" i="1"/>
  <c r="T362" i="1"/>
  <c r="T363" i="1"/>
  <c r="T364" i="1"/>
  <c r="T365" i="1"/>
  <c r="T366" i="1"/>
  <c r="T370" i="1"/>
  <c r="T371" i="1"/>
  <c r="T372" i="1"/>
  <c r="T373" i="1"/>
  <c r="T374" i="1"/>
  <c r="T375" i="1"/>
  <c r="T378" i="1"/>
  <c r="T380" i="1"/>
  <c r="T381" i="1"/>
  <c r="T382" i="1"/>
  <c r="T386" i="1"/>
  <c r="T388" i="1"/>
  <c r="T389" i="1"/>
  <c r="T390" i="1"/>
  <c r="T391" i="1"/>
  <c r="T394" i="1"/>
  <c r="T396" i="1"/>
  <c r="T397" i="1"/>
  <c r="T398" i="1"/>
  <c r="T399" i="1"/>
  <c r="T400" i="1"/>
  <c r="T402" i="1"/>
  <c r="T403" i="1"/>
  <c r="T404" i="1"/>
  <c r="T405" i="1"/>
  <c r="T406" i="1"/>
  <c r="T407" i="1"/>
  <c r="T408" i="1"/>
  <c r="T410" i="1"/>
  <c r="T412" i="1"/>
  <c r="T413" i="1"/>
  <c r="T414" i="1"/>
  <c r="T418" i="1"/>
  <c r="T419" i="1"/>
  <c r="T420" i="1"/>
  <c r="T421" i="1"/>
  <c r="T422" i="1"/>
  <c r="T426" i="1"/>
  <c r="T427" i="1"/>
  <c r="T428" i="1"/>
  <c r="T429" i="1"/>
  <c r="T430" i="1"/>
  <c r="T434" i="1"/>
  <c r="T435" i="1"/>
  <c r="T436" i="1"/>
  <c r="T437" i="1"/>
  <c r="T438" i="1"/>
  <c r="T439" i="1"/>
  <c r="T442" i="1"/>
  <c r="T444" i="1"/>
  <c r="T445" i="1"/>
  <c r="T446" i="1"/>
  <c r="T450" i="1"/>
  <c r="T452" i="1"/>
  <c r="T453" i="1"/>
  <c r="T454" i="1"/>
  <c r="T455" i="1"/>
  <c r="T458" i="1"/>
  <c r="T460" i="1"/>
  <c r="T461" i="1"/>
  <c r="T462" i="1"/>
  <c r="T463" i="1"/>
  <c r="T464" i="1"/>
  <c r="T466" i="1"/>
  <c r="T467" i="1"/>
  <c r="T468" i="1"/>
  <c r="T469" i="1"/>
  <c r="T470" i="1"/>
  <c r="T471" i="1"/>
  <c r="T472" i="1"/>
  <c r="T474" i="1"/>
  <c r="T476" i="1"/>
  <c r="T477" i="1"/>
  <c r="T478" i="1"/>
  <c r="T482" i="1"/>
  <c r="T483" i="1"/>
  <c r="T484" i="1"/>
  <c r="T485" i="1"/>
  <c r="T486" i="1"/>
  <c r="T490" i="1"/>
  <c r="T491" i="1"/>
  <c r="T492" i="1"/>
  <c r="T493" i="1"/>
  <c r="T494" i="1"/>
  <c r="T498" i="1"/>
  <c r="T499" i="1"/>
  <c r="T500" i="1"/>
  <c r="T501" i="1"/>
  <c r="T502" i="1"/>
  <c r="T506" i="1"/>
  <c r="T508" i="1"/>
  <c r="T509" i="1"/>
  <c r="T510" i="1"/>
  <c r="T514" i="1"/>
  <c r="T516" i="1"/>
  <c r="T517" i="1"/>
  <c r="T518" i="1"/>
  <c r="T519" i="1"/>
  <c r="T522" i="1"/>
  <c r="T524" i="1"/>
  <c r="T525" i="1"/>
  <c r="T526" i="1"/>
  <c r="T527" i="1"/>
  <c r="T528" i="1"/>
  <c r="T530" i="1"/>
  <c r="T531" i="1"/>
  <c r="T532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9" i="1"/>
  <c r="Q130" i="1"/>
  <c r="Q131" i="1"/>
  <c r="Q132" i="1"/>
  <c r="Q133" i="1"/>
  <c r="Q134" i="1"/>
  <c r="Q136" i="1"/>
  <c r="Q137" i="1"/>
  <c r="Q139" i="1"/>
  <c r="Q141" i="1"/>
  <c r="Q143" i="1"/>
  <c r="Q144" i="1"/>
  <c r="Q145" i="1"/>
  <c r="Q147" i="1"/>
  <c r="Q148" i="1"/>
  <c r="Q149" i="1"/>
  <c r="Q150" i="1"/>
  <c r="Q151" i="1"/>
  <c r="Q152" i="1"/>
  <c r="Q153" i="1"/>
  <c r="Q155" i="1"/>
  <c r="Q156" i="1"/>
  <c r="Q158" i="1"/>
  <c r="Q159" i="1"/>
  <c r="Q160" i="1"/>
  <c r="Q161" i="1"/>
  <c r="Q163" i="1"/>
  <c r="Q164" i="1"/>
  <c r="Q165" i="1"/>
  <c r="Q166" i="1"/>
  <c r="Q167" i="1"/>
  <c r="Q168" i="1"/>
  <c r="Q169" i="1"/>
  <c r="Q171" i="1"/>
  <c r="Q172" i="1"/>
  <c r="Q173" i="1"/>
  <c r="Q174" i="1"/>
  <c r="Q175" i="1"/>
  <c r="Q176" i="1"/>
  <c r="Q177" i="1"/>
  <c r="Q179" i="1"/>
  <c r="Q180" i="1"/>
  <c r="Q181" i="1"/>
  <c r="Q182" i="1"/>
  <c r="Q183" i="1"/>
  <c r="Q184" i="1"/>
  <c r="Q185" i="1"/>
  <c r="Q187" i="1"/>
  <c r="Q188" i="1"/>
  <c r="Q189" i="1"/>
  <c r="Q190" i="1"/>
  <c r="Q191" i="1"/>
  <c r="Q192" i="1"/>
  <c r="Q193" i="1"/>
  <c r="Q195" i="1"/>
  <c r="Q196" i="1"/>
  <c r="Q197" i="1"/>
  <c r="Q198" i="1"/>
  <c r="Q199" i="1"/>
  <c r="Q200" i="1"/>
  <c r="Q201" i="1"/>
  <c r="Q203" i="1"/>
  <c r="Q204" i="1"/>
  <c r="Q205" i="1"/>
  <c r="Q206" i="1"/>
  <c r="Q207" i="1"/>
  <c r="Q208" i="1"/>
  <c r="Q209" i="1"/>
  <c r="Q211" i="1"/>
  <c r="Q212" i="1"/>
  <c r="Q213" i="1"/>
  <c r="Q214" i="1"/>
  <c r="Q215" i="1"/>
  <c r="Q216" i="1"/>
  <c r="Q217" i="1"/>
  <c r="Q219" i="1"/>
  <c r="Q220" i="1"/>
  <c r="Q221" i="1"/>
  <c r="Q222" i="1"/>
  <c r="Q223" i="1"/>
  <c r="Q224" i="1"/>
  <c r="Q225" i="1"/>
  <c r="Q227" i="1"/>
  <c r="Q228" i="1"/>
  <c r="Q229" i="1"/>
  <c r="Q230" i="1"/>
  <c r="Q231" i="1"/>
  <c r="Q232" i="1"/>
  <c r="Q233" i="1"/>
  <c r="Q235" i="1"/>
  <c r="Q236" i="1"/>
  <c r="Q237" i="1"/>
  <c r="Q238" i="1"/>
  <c r="Q239" i="1"/>
  <c r="Q240" i="1"/>
  <c r="Q241" i="1"/>
  <c r="Q243" i="1"/>
  <c r="Q244" i="1"/>
  <c r="Q245" i="1"/>
  <c r="Q246" i="1"/>
  <c r="Q247" i="1"/>
  <c r="Q248" i="1"/>
  <c r="Q249" i="1"/>
  <c r="Q251" i="1"/>
  <c r="Q252" i="1"/>
  <c r="Q253" i="1"/>
  <c r="Q254" i="1"/>
  <c r="Q255" i="1"/>
  <c r="Q256" i="1"/>
  <c r="Q257" i="1"/>
  <c r="Q259" i="1"/>
  <c r="Q260" i="1"/>
  <c r="Q261" i="1"/>
  <c r="Q262" i="1"/>
  <c r="Q263" i="1"/>
  <c r="Q264" i="1"/>
  <c r="Q265" i="1"/>
  <c r="Q267" i="1"/>
  <c r="Q268" i="1"/>
  <c r="Q269" i="1"/>
  <c r="Q270" i="1"/>
  <c r="Q271" i="1"/>
  <c r="Q272" i="1"/>
  <c r="Q273" i="1"/>
  <c r="Q275" i="1"/>
  <c r="Q276" i="1"/>
  <c r="Q277" i="1"/>
  <c r="Q278" i="1"/>
  <c r="Q279" i="1"/>
  <c r="Q280" i="1"/>
  <c r="Q281" i="1"/>
  <c r="Q283" i="1"/>
  <c r="Q284" i="1"/>
  <c r="Q285" i="1"/>
  <c r="Q286" i="1"/>
  <c r="Q287" i="1"/>
  <c r="Q288" i="1"/>
  <c r="Q289" i="1"/>
  <c r="Q291" i="1"/>
  <c r="Q292" i="1"/>
  <c r="Q293" i="1"/>
  <c r="Q294" i="1"/>
  <c r="Q295" i="1"/>
  <c r="Q296" i="1"/>
  <c r="Q297" i="1"/>
  <c r="Q299" i="1"/>
  <c r="Q300" i="1"/>
  <c r="Q301" i="1"/>
  <c r="Q302" i="1"/>
  <c r="Q303" i="1"/>
  <c r="Q304" i="1"/>
  <c r="Q305" i="1"/>
  <c r="Q307" i="1"/>
  <c r="Q308" i="1"/>
  <c r="Q309" i="1"/>
  <c r="Q310" i="1"/>
  <c r="Q311" i="1"/>
  <c r="Q312" i="1"/>
  <c r="Q313" i="1"/>
  <c r="Q315" i="1"/>
  <c r="Q316" i="1"/>
  <c r="Q317" i="1"/>
  <c r="Q318" i="1"/>
  <c r="Q319" i="1"/>
  <c r="Q320" i="1"/>
  <c r="Q321" i="1"/>
  <c r="Q323" i="1"/>
  <c r="Q324" i="1"/>
  <c r="Q325" i="1"/>
  <c r="Q326" i="1"/>
  <c r="Q327" i="1"/>
  <c r="Q328" i="1"/>
  <c r="Q329" i="1"/>
  <c r="Q331" i="1"/>
  <c r="Q332" i="1"/>
  <c r="Q333" i="1"/>
  <c r="Q334" i="1"/>
  <c r="Q335" i="1"/>
  <c r="Q336" i="1"/>
  <c r="Q337" i="1"/>
  <c r="Q339" i="1"/>
  <c r="Q340" i="1"/>
  <c r="Q341" i="1"/>
  <c r="Q342" i="1"/>
  <c r="Q343" i="1"/>
  <c r="Q344" i="1"/>
  <c r="Q345" i="1"/>
  <c r="Q347" i="1"/>
  <c r="Q348" i="1"/>
  <c r="Q349" i="1"/>
  <c r="Q350" i="1"/>
  <c r="Q351" i="1"/>
  <c r="Q352" i="1"/>
  <c r="Q353" i="1"/>
  <c r="Q355" i="1"/>
  <c r="Q356" i="1"/>
  <c r="Q357" i="1"/>
  <c r="Q358" i="1"/>
  <c r="Q359" i="1"/>
  <c r="Q360" i="1"/>
  <c r="Q361" i="1"/>
  <c r="Q363" i="1"/>
  <c r="Q364" i="1"/>
  <c r="Q365" i="1"/>
  <c r="Q366" i="1"/>
  <c r="Q367" i="1"/>
  <c r="Q368" i="1"/>
  <c r="Q369" i="1"/>
  <c r="Q371" i="1"/>
  <c r="Q372" i="1"/>
  <c r="Q373" i="1"/>
  <c r="Q374" i="1"/>
  <c r="Q375" i="1"/>
  <c r="Q376" i="1"/>
  <c r="Q377" i="1"/>
  <c r="Q379" i="1"/>
  <c r="Q380" i="1"/>
  <c r="Q381" i="1"/>
  <c r="Q382" i="1"/>
  <c r="Q383" i="1"/>
  <c r="Q384" i="1"/>
  <c r="Q385" i="1"/>
  <c r="Q387" i="1"/>
  <c r="Q388" i="1"/>
  <c r="Q389" i="1"/>
  <c r="Q390" i="1"/>
  <c r="Q391" i="1"/>
  <c r="Q392" i="1"/>
  <c r="Q393" i="1"/>
  <c r="Q395" i="1"/>
  <c r="Q396" i="1"/>
  <c r="Q397" i="1"/>
  <c r="Q398" i="1"/>
  <c r="Q399" i="1"/>
  <c r="Q400" i="1"/>
  <c r="Q401" i="1"/>
  <c r="Q403" i="1"/>
  <c r="Q404" i="1"/>
  <c r="Q405" i="1"/>
  <c r="Q406" i="1"/>
  <c r="Q407" i="1"/>
  <c r="Q408" i="1"/>
  <c r="Q409" i="1"/>
  <c r="Q411" i="1"/>
  <c r="Q412" i="1"/>
  <c r="Q413" i="1"/>
  <c r="Q414" i="1"/>
  <c r="Q415" i="1"/>
  <c r="Q416" i="1"/>
  <c r="Q417" i="1"/>
  <c r="Q419" i="1"/>
  <c r="Q420" i="1"/>
  <c r="Q421" i="1"/>
  <c r="Q422" i="1"/>
  <c r="Q423" i="1"/>
  <c r="Q424" i="1"/>
  <c r="Q425" i="1"/>
  <c r="Q427" i="1"/>
  <c r="Q428" i="1"/>
  <c r="Q429" i="1"/>
  <c r="Q430" i="1"/>
  <c r="Q431" i="1"/>
  <c r="Q432" i="1"/>
  <c r="Q433" i="1"/>
  <c r="Q435" i="1"/>
  <c r="Q436" i="1"/>
  <c r="Q437" i="1"/>
  <c r="Q438" i="1"/>
  <c r="Q439" i="1"/>
  <c r="Q440" i="1"/>
  <c r="Q441" i="1"/>
  <c r="Q443" i="1"/>
  <c r="Q444" i="1"/>
  <c r="Q445" i="1"/>
  <c r="Q446" i="1"/>
  <c r="Q447" i="1"/>
  <c r="Q448" i="1"/>
  <c r="Q449" i="1"/>
  <c r="Q451" i="1"/>
  <c r="Q452" i="1"/>
  <c r="Q453" i="1"/>
  <c r="Q454" i="1"/>
  <c r="Q455" i="1"/>
  <c r="Q456" i="1"/>
  <c r="Q457" i="1"/>
  <c r="Q459" i="1"/>
  <c r="Q460" i="1"/>
  <c r="Q461" i="1"/>
  <c r="Q462" i="1"/>
  <c r="Q463" i="1"/>
  <c r="Q464" i="1"/>
  <c r="Q465" i="1"/>
  <c r="Q467" i="1"/>
  <c r="Q468" i="1"/>
  <c r="Q469" i="1"/>
  <c r="Q470" i="1"/>
  <c r="Q471" i="1"/>
  <c r="Q472" i="1"/>
  <c r="Q473" i="1"/>
  <c r="Q475" i="1"/>
  <c r="Q476" i="1"/>
  <c r="Q477" i="1"/>
  <c r="Q478" i="1"/>
  <c r="Q479" i="1"/>
  <c r="Q480" i="1"/>
  <c r="Q481" i="1"/>
  <c r="Q483" i="1"/>
  <c r="Q484" i="1"/>
  <c r="Q485" i="1"/>
  <c r="Q486" i="1"/>
  <c r="Q487" i="1"/>
  <c r="Q488" i="1"/>
  <c r="Q489" i="1"/>
  <c r="Q491" i="1"/>
  <c r="Q492" i="1"/>
  <c r="Q493" i="1"/>
  <c r="Q494" i="1"/>
  <c r="Q495" i="1"/>
  <c r="Q496" i="1"/>
  <c r="Q497" i="1"/>
  <c r="Q499" i="1"/>
  <c r="Q500" i="1"/>
  <c r="Q501" i="1"/>
  <c r="Q502" i="1"/>
  <c r="Q503" i="1"/>
  <c r="Q504" i="1"/>
  <c r="Q505" i="1"/>
  <c r="Q507" i="1"/>
  <c r="Q508" i="1"/>
  <c r="Q509" i="1"/>
  <c r="Q510" i="1"/>
  <c r="Q511" i="1"/>
  <c r="Q512" i="1"/>
  <c r="Q513" i="1"/>
  <c r="Q515" i="1"/>
  <c r="Q516" i="1"/>
  <c r="Q517" i="1"/>
  <c r="Q518" i="1"/>
  <c r="Q519" i="1"/>
  <c r="Q520" i="1"/>
  <c r="Q521" i="1"/>
  <c r="Q523" i="1"/>
  <c r="Q524" i="1"/>
  <c r="Q525" i="1"/>
  <c r="Q526" i="1"/>
  <c r="Q527" i="1"/>
  <c r="Q528" i="1"/>
  <c r="Q529" i="1"/>
  <c r="Q531" i="1"/>
  <c r="Q532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8" i="1"/>
  <c r="N139" i="1"/>
  <c r="N140" i="1"/>
  <c r="N141" i="1"/>
  <c r="N142" i="1"/>
  <c r="N144" i="1"/>
  <c r="N146" i="1"/>
  <c r="N147" i="1"/>
  <c r="N148" i="1"/>
  <c r="N149" i="1"/>
  <c r="N150" i="1"/>
  <c r="N152" i="1"/>
  <c r="N154" i="1"/>
  <c r="N155" i="1"/>
  <c r="N156" i="1"/>
  <c r="N157" i="1"/>
  <c r="N158" i="1"/>
  <c r="N160" i="1"/>
  <c r="N162" i="1"/>
  <c r="N163" i="1"/>
  <c r="N164" i="1"/>
  <c r="N165" i="1"/>
  <c r="N166" i="1"/>
  <c r="N170" i="1"/>
  <c r="N171" i="1"/>
  <c r="N172" i="1"/>
  <c r="N173" i="1"/>
  <c r="N174" i="1"/>
  <c r="N178" i="1"/>
  <c r="N179" i="1"/>
  <c r="N180" i="1"/>
  <c r="N181" i="1"/>
  <c r="N182" i="1"/>
  <c r="N186" i="1"/>
  <c r="N187" i="1"/>
  <c r="N188" i="1"/>
  <c r="N189" i="1"/>
  <c r="N190" i="1"/>
  <c r="N194" i="1"/>
  <c r="N195" i="1"/>
  <c r="N196" i="1"/>
  <c r="N197" i="1"/>
  <c r="N198" i="1"/>
  <c r="N201" i="1"/>
  <c r="N202" i="1"/>
  <c r="N203" i="1"/>
  <c r="N204" i="1"/>
  <c r="N205" i="1"/>
  <c r="N206" i="1"/>
  <c r="N210" i="1"/>
  <c r="N211" i="1"/>
  <c r="N212" i="1"/>
  <c r="N213" i="1"/>
  <c r="N214" i="1"/>
  <c r="N218" i="1"/>
  <c r="N219" i="1"/>
  <c r="N220" i="1"/>
  <c r="N221" i="1"/>
  <c r="N222" i="1"/>
  <c r="N226" i="1"/>
  <c r="N227" i="1"/>
  <c r="N228" i="1"/>
  <c r="N229" i="1"/>
  <c r="N230" i="1"/>
  <c r="N233" i="1"/>
  <c r="N234" i="1"/>
  <c r="N235" i="1"/>
  <c r="N236" i="1"/>
  <c r="N237" i="1"/>
  <c r="N238" i="1"/>
  <c r="N242" i="1"/>
  <c r="N243" i="1"/>
  <c r="N244" i="1"/>
  <c r="N245" i="1"/>
  <c r="N246" i="1"/>
  <c r="N250" i="1"/>
  <c r="N251" i="1"/>
  <c r="N252" i="1"/>
  <c r="N253" i="1"/>
  <c r="N254" i="1"/>
  <c r="N258" i="1"/>
  <c r="N259" i="1"/>
  <c r="N260" i="1"/>
  <c r="N261" i="1"/>
  <c r="N262" i="1"/>
  <c r="N266" i="1"/>
  <c r="N267" i="1"/>
  <c r="N268" i="1"/>
  <c r="N269" i="1"/>
  <c r="N270" i="1"/>
  <c r="N274" i="1"/>
  <c r="N275" i="1"/>
  <c r="N276" i="1"/>
  <c r="N277" i="1"/>
  <c r="N278" i="1"/>
  <c r="N282" i="1"/>
  <c r="N283" i="1"/>
  <c r="N284" i="1"/>
  <c r="N285" i="1"/>
  <c r="N286" i="1"/>
  <c r="N290" i="1"/>
  <c r="N291" i="1"/>
  <c r="N292" i="1"/>
  <c r="N293" i="1"/>
  <c r="N294" i="1"/>
  <c r="N297" i="1"/>
  <c r="N298" i="1"/>
  <c r="N299" i="1"/>
  <c r="N300" i="1"/>
  <c r="N301" i="1"/>
  <c r="N302" i="1"/>
  <c r="N304" i="1"/>
  <c r="N306" i="1"/>
  <c r="N307" i="1"/>
  <c r="N308" i="1"/>
  <c r="N309" i="1"/>
  <c r="N310" i="1"/>
  <c r="N312" i="1"/>
  <c r="N314" i="1"/>
  <c r="N315" i="1"/>
  <c r="N316" i="1"/>
  <c r="N317" i="1"/>
  <c r="N318" i="1"/>
  <c r="N320" i="1"/>
  <c r="N322" i="1"/>
  <c r="N323" i="1"/>
  <c r="N324" i="1"/>
  <c r="N325" i="1"/>
  <c r="N326" i="1"/>
  <c r="N328" i="1"/>
  <c r="N330" i="1"/>
  <c r="N331" i="1"/>
  <c r="N332" i="1"/>
  <c r="N333" i="1"/>
  <c r="N334" i="1"/>
  <c r="N336" i="1"/>
  <c r="N338" i="1"/>
  <c r="N339" i="1"/>
  <c r="N340" i="1"/>
  <c r="N341" i="1"/>
  <c r="N342" i="1"/>
  <c r="N344" i="1"/>
  <c r="N347" i="1"/>
  <c r="N348" i="1"/>
  <c r="N349" i="1"/>
  <c r="N350" i="1"/>
  <c r="N352" i="1"/>
  <c r="N354" i="1"/>
  <c r="N355" i="1"/>
  <c r="N356" i="1"/>
  <c r="N357" i="1"/>
  <c r="N358" i="1"/>
  <c r="N360" i="1"/>
  <c r="N361" i="1"/>
  <c r="N362" i="1"/>
  <c r="N363" i="1"/>
  <c r="N364" i="1"/>
  <c r="N365" i="1"/>
  <c r="N366" i="1"/>
  <c r="N368" i="1"/>
  <c r="N370" i="1"/>
  <c r="N371" i="1"/>
  <c r="N372" i="1"/>
  <c r="N373" i="1"/>
  <c r="N374" i="1"/>
  <c r="N376" i="1"/>
  <c r="N378" i="1"/>
  <c r="N379" i="1"/>
  <c r="N380" i="1"/>
  <c r="N381" i="1"/>
  <c r="N382" i="1"/>
  <c r="N384" i="1"/>
  <c r="N386" i="1"/>
  <c r="N387" i="1"/>
  <c r="N388" i="1"/>
  <c r="N389" i="1"/>
  <c r="N394" i="1"/>
  <c r="N395" i="1"/>
  <c r="N396" i="1"/>
  <c r="N397" i="1"/>
  <c r="N400" i="1"/>
  <c r="N402" i="1"/>
  <c r="N403" i="1"/>
  <c r="N404" i="1"/>
  <c r="N405" i="1"/>
  <c r="N410" i="1"/>
  <c r="N411" i="1"/>
  <c r="N412" i="1"/>
  <c r="N413" i="1"/>
  <c r="N418" i="1"/>
  <c r="N419" i="1"/>
  <c r="N420" i="1"/>
  <c r="N421" i="1"/>
  <c r="N426" i="1"/>
  <c r="N427" i="1"/>
  <c r="N428" i="1"/>
  <c r="N429" i="1"/>
  <c r="N432" i="1"/>
  <c r="N434" i="1"/>
  <c r="N435" i="1"/>
  <c r="N436" i="1"/>
  <c r="N437" i="1"/>
  <c r="N442" i="1"/>
  <c r="N443" i="1"/>
  <c r="N444" i="1"/>
  <c r="N445" i="1"/>
  <c r="N450" i="1"/>
  <c r="N451" i="1"/>
  <c r="N452" i="1"/>
  <c r="N453" i="1"/>
  <c r="N458" i="1"/>
  <c r="N459" i="1"/>
  <c r="N460" i="1"/>
  <c r="N461" i="1"/>
  <c r="N464" i="1"/>
  <c r="N466" i="1"/>
  <c r="N467" i="1"/>
  <c r="N468" i="1"/>
  <c r="N469" i="1"/>
  <c r="N474" i="1"/>
  <c r="N475" i="1"/>
  <c r="N476" i="1"/>
  <c r="N477" i="1"/>
  <c r="N482" i="1"/>
  <c r="N483" i="1"/>
  <c r="N484" i="1"/>
  <c r="N485" i="1"/>
  <c r="N490" i="1"/>
  <c r="N491" i="1"/>
  <c r="N492" i="1"/>
  <c r="N493" i="1"/>
  <c r="N496" i="1"/>
  <c r="N498" i="1"/>
  <c r="N499" i="1"/>
  <c r="N500" i="1"/>
  <c r="N501" i="1"/>
  <c r="N506" i="1"/>
  <c r="N507" i="1"/>
  <c r="N508" i="1"/>
  <c r="N509" i="1"/>
  <c r="N514" i="1"/>
  <c r="N515" i="1"/>
  <c r="N516" i="1"/>
  <c r="N517" i="1"/>
  <c r="N522" i="1"/>
  <c r="N523" i="1"/>
  <c r="N524" i="1"/>
  <c r="N525" i="1"/>
  <c r="N528" i="1"/>
  <c r="N530" i="1"/>
  <c r="N531" i="1"/>
  <c r="N532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4" i="1"/>
  <c r="K75" i="1"/>
  <c r="K76" i="1"/>
  <c r="K77" i="1"/>
  <c r="K78" i="1"/>
  <c r="K79" i="1"/>
  <c r="K80" i="1"/>
  <c r="K82" i="1"/>
  <c r="K83" i="1"/>
  <c r="K84" i="1"/>
  <c r="K85" i="1"/>
  <c r="K86" i="1"/>
  <c r="K87" i="1"/>
  <c r="K88" i="1"/>
  <c r="K90" i="1"/>
  <c r="K91" i="1"/>
  <c r="K92" i="1"/>
  <c r="K93" i="1"/>
  <c r="K94" i="1"/>
  <c r="K95" i="1"/>
  <c r="K96" i="1"/>
  <c r="K98" i="1"/>
  <c r="K99" i="1"/>
  <c r="K100" i="1"/>
  <c r="K101" i="1"/>
  <c r="K102" i="1"/>
  <c r="K103" i="1"/>
  <c r="K104" i="1"/>
  <c r="K106" i="1"/>
  <c r="K107" i="1"/>
  <c r="K108" i="1"/>
  <c r="K109" i="1"/>
  <c r="K110" i="1"/>
  <c r="K111" i="1"/>
  <c r="K112" i="1"/>
  <c r="K114" i="1"/>
  <c r="K115" i="1"/>
  <c r="K116" i="1"/>
  <c r="K117" i="1"/>
  <c r="K118" i="1"/>
  <c r="K119" i="1"/>
  <c r="K120" i="1"/>
  <c r="K122" i="1"/>
  <c r="K123" i="1"/>
  <c r="K124" i="1"/>
  <c r="K125" i="1"/>
  <c r="K126" i="1"/>
  <c r="K127" i="1"/>
  <c r="K130" i="1"/>
  <c r="K131" i="1"/>
  <c r="K132" i="1"/>
  <c r="K133" i="1"/>
  <c r="K134" i="1"/>
  <c r="K136" i="1"/>
  <c r="K140" i="1"/>
  <c r="K141" i="1"/>
  <c r="K143" i="1"/>
  <c r="K144" i="1"/>
  <c r="K145" i="1"/>
  <c r="K148" i="1"/>
  <c r="K149" i="1"/>
  <c r="K150" i="1"/>
  <c r="K151" i="1"/>
  <c r="K152" i="1"/>
  <c r="K153" i="1"/>
  <c r="K156" i="1"/>
  <c r="K158" i="1"/>
  <c r="K159" i="1"/>
  <c r="K160" i="1"/>
  <c r="K161" i="1"/>
  <c r="K162" i="1"/>
  <c r="K164" i="1"/>
  <c r="K165" i="1"/>
  <c r="K166" i="1"/>
  <c r="K167" i="1"/>
  <c r="K168" i="1"/>
  <c r="K169" i="1"/>
  <c r="K170" i="1"/>
  <c r="K172" i="1"/>
  <c r="K173" i="1"/>
  <c r="K174" i="1"/>
  <c r="K175" i="1"/>
  <c r="K176" i="1"/>
  <c r="K177" i="1"/>
  <c r="K178" i="1"/>
  <c r="K180" i="1"/>
  <c r="K181" i="1"/>
  <c r="K182" i="1"/>
  <c r="K183" i="1"/>
  <c r="K184" i="1"/>
  <c r="K185" i="1"/>
  <c r="K186" i="1"/>
  <c r="K188" i="1"/>
  <c r="K189" i="1"/>
  <c r="K190" i="1"/>
  <c r="K191" i="1"/>
  <c r="K192" i="1"/>
  <c r="K193" i="1"/>
  <c r="K194" i="1"/>
  <c r="K196" i="1"/>
  <c r="K197" i="1"/>
  <c r="K198" i="1"/>
  <c r="K199" i="1"/>
  <c r="K200" i="1"/>
  <c r="K201" i="1"/>
  <c r="K202" i="1"/>
  <c r="K204" i="1"/>
  <c r="K205" i="1"/>
  <c r="K206" i="1"/>
  <c r="K207" i="1"/>
  <c r="K208" i="1"/>
  <c r="K209" i="1"/>
  <c r="K210" i="1"/>
  <c r="K212" i="1"/>
  <c r="K213" i="1"/>
  <c r="K214" i="1"/>
  <c r="K215" i="1"/>
  <c r="K216" i="1"/>
  <c r="K217" i="1"/>
  <c r="K218" i="1"/>
  <c r="K220" i="1"/>
  <c r="K221" i="1"/>
  <c r="K222" i="1"/>
  <c r="K223" i="1"/>
  <c r="K224" i="1"/>
  <c r="K225" i="1"/>
  <c r="K226" i="1"/>
  <c r="K228" i="1"/>
  <c r="K229" i="1"/>
  <c r="K230" i="1"/>
  <c r="K231" i="1"/>
  <c r="K232" i="1"/>
  <c r="K233" i="1"/>
  <c r="K234" i="1"/>
  <c r="K236" i="1"/>
  <c r="K237" i="1"/>
  <c r="K238" i="1"/>
  <c r="K239" i="1"/>
  <c r="K240" i="1"/>
  <c r="K241" i="1"/>
  <c r="K242" i="1"/>
  <c r="K244" i="1"/>
  <c r="K245" i="1"/>
  <c r="K246" i="1"/>
  <c r="K247" i="1"/>
  <c r="K248" i="1"/>
  <c r="K249" i="1"/>
  <c r="K250" i="1"/>
  <c r="K252" i="1"/>
  <c r="K253" i="1"/>
  <c r="K254" i="1"/>
  <c r="K255" i="1"/>
  <c r="K256" i="1"/>
  <c r="K257" i="1"/>
  <c r="K258" i="1"/>
  <c r="K260" i="1"/>
  <c r="K261" i="1"/>
  <c r="K262" i="1"/>
  <c r="K263" i="1"/>
  <c r="K264" i="1"/>
  <c r="K265" i="1"/>
  <c r="K266" i="1"/>
  <c r="K268" i="1"/>
  <c r="K269" i="1"/>
  <c r="K270" i="1"/>
  <c r="K271" i="1"/>
  <c r="K272" i="1"/>
  <c r="K273" i="1"/>
  <c r="K274" i="1"/>
  <c r="K276" i="1"/>
  <c r="K277" i="1"/>
  <c r="K278" i="1"/>
  <c r="K279" i="1"/>
  <c r="K280" i="1"/>
  <c r="K281" i="1"/>
  <c r="K282" i="1"/>
  <c r="K284" i="1"/>
  <c r="K285" i="1"/>
  <c r="K286" i="1"/>
  <c r="K287" i="1"/>
  <c r="K288" i="1"/>
  <c r="K289" i="1"/>
  <c r="K290" i="1"/>
  <c r="K292" i="1"/>
  <c r="K293" i="1"/>
  <c r="K294" i="1"/>
  <c r="K295" i="1"/>
  <c r="K296" i="1"/>
  <c r="K297" i="1"/>
  <c r="K298" i="1"/>
  <c r="K300" i="1"/>
  <c r="K301" i="1"/>
  <c r="K302" i="1"/>
  <c r="K303" i="1"/>
  <c r="K304" i="1"/>
  <c r="K305" i="1"/>
  <c r="K306" i="1"/>
  <c r="K308" i="1"/>
  <c r="K309" i="1"/>
  <c r="K310" i="1"/>
  <c r="K311" i="1"/>
  <c r="K312" i="1"/>
  <c r="K313" i="1"/>
  <c r="K314" i="1"/>
  <c r="K316" i="1"/>
  <c r="K317" i="1"/>
  <c r="K318" i="1"/>
  <c r="K319" i="1"/>
  <c r="K320" i="1"/>
  <c r="K321" i="1"/>
  <c r="K322" i="1"/>
  <c r="K324" i="1"/>
  <c r="K325" i="1"/>
  <c r="K326" i="1"/>
  <c r="K327" i="1"/>
  <c r="K328" i="1"/>
  <c r="K329" i="1"/>
  <c r="K330" i="1"/>
  <c r="K332" i="1"/>
  <c r="K333" i="1"/>
  <c r="K334" i="1"/>
  <c r="K335" i="1"/>
  <c r="K336" i="1"/>
  <c r="K337" i="1"/>
  <c r="K338" i="1"/>
  <c r="K340" i="1"/>
  <c r="K341" i="1"/>
  <c r="K342" i="1"/>
  <c r="K343" i="1"/>
  <c r="K344" i="1"/>
  <c r="K345" i="1"/>
  <c r="K346" i="1"/>
  <c r="K348" i="1"/>
  <c r="K349" i="1"/>
  <c r="K350" i="1"/>
  <c r="K351" i="1"/>
  <c r="K352" i="1"/>
  <c r="K353" i="1"/>
  <c r="K354" i="1"/>
  <c r="K356" i="1"/>
  <c r="K357" i="1"/>
  <c r="K358" i="1"/>
  <c r="K359" i="1"/>
  <c r="K360" i="1"/>
  <c r="K361" i="1"/>
  <c r="K362" i="1"/>
  <c r="K364" i="1"/>
  <c r="K365" i="1"/>
  <c r="K366" i="1"/>
  <c r="K367" i="1"/>
  <c r="K368" i="1"/>
  <c r="K369" i="1"/>
  <c r="K370" i="1"/>
  <c r="K372" i="1"/>
  <c r="K373" i="1"/>
  <c r="K374" i="1"/>
  <c r="K375" i="1"/>
  <c r="K376" i="1"/>
  <c r="K377" i="1"/>
  <c r="K378" i="1"/>
  <c r="K380" i="1"/>
  <c r="K381" i="1"/>
  <c r="K382" i="1"/>
  <c r="K383" i="1"/>
  <c r="K384" i="1"/>
  <c r="K385" i="1"/>
  <c r="K386" i="1"/>
  <c r="K388" i="1"/>
  <c r="K389" i="1"/>
  <c r="K390" i="1"/>
  <c r="K391" i="1"/>
  <c r="K392" i="1"/>
  <c r="K393" i="1"/>
  <c r="K394" i="1"/>
  <c r="K396" i="1"/>
  <c r="K397" i="1"/>
  <c r="K398" i="1"/>
  <c r="K399" i="1"/>
  <c r="K400" i="1"/>
  <c r="K401" i="1"/>
  <c r="K402" i="1"/>
  <c r="K404" i="1"/>
  <c r="K405" i="1"/>
  <c r="K406" i="1"/>
  <c r="K407" i="1"/>
  <c r="K408" i="1"/>
  <c r="K409" i="1"/>
  <c r="K410" i="1"/>
  <c r="K412" i="1"/>
  <c r="K413" i="1"/>
  <c r="K414" i="1"/>
  <c r="K415" i="1"/>
  <c r="K416" i="1"/>
  <c r="K417" i="1"/>
  <c r="K418" i="1"/>
  <c r="K420" i="1"/>
  <c r="K421" i="1"/>
  <c r="K422" i="1"/>
  <c r="K423" i="1"/>
  <c r="K424" i="1"/>
  <c r="K425" i="1"/>
  <c r="K426" i="1"/>
  <c r="K428" i="1"/>
  <c r="K429" i="1"/>
  <c r="K430" i="1"/>
  <c r="K431" i="1"/>
  <c r="K432" i="1"/>
  <c r="K433" i="1"/>
  <c r="K434" i="1"/>
  <c r="K436" i="1"/>
  <c r="K437" i="1"/>
  <c r="K438" i="1"/>
  <c r="K439" i="1"/>
  <c r="K440" i="1"/>
  <c r="K441" i="1"/>
  <c r="K442" i="1"/>
  <c r="K444" i="1"/>
  <c r="K445" i="1"/>
  <c r="K446" i="1"/>
  <c r="K447" i="1"/>
  <c r="K448" i="1"/>
  <c r="K449" i="1"/>
  <c r="K450" i="1"/>
  <c r="K452" i="1"/>
  <c r="K453" i="1"/>
  <c r="K454" i="1"/>
  <c r="K455" i="1"/>
  <c r="K456" i="1"/>
  <c r="K457" i="1"/>
  <c r="K458" i="1"/>
  <c r="K460" i="1"/>
  <c r="K461" i="1"/>
  <c r="K462" i="1"/>
  <c r="K463" i="1"/>
  <c r="K464" i="1"/>
  <c r="K465" i="1"/>
  <c r="K466" i="1"/>
  <c r="K468" i="1"/>
  <c r="K469" i="1"/>
  <c r="K470" i="1"/>
  <c r="K471" i="1"/>
  <c r="K472" i="1"/>
  <c r="K473" i="1"/>
  <c r="K474" i="1"/>
  <c r="K476" i="1"/>
  <c r="K477" i="1"/>
  <c r="K478" i="1"/>
  <c r="K479" i="1"/>
  <c r="K480" i="1"/>
  <c r="K481" i="1"/>
  <c r="K482" i="1"/>
  <c r="K484" i="1"/>
  <c r="K485" i="1"/>
  <c r="K486" i="1"/>
  <c r="K487" i="1"/>
  <c r="K488" i="1"/>
  <c r="K489" i="1"/>
  <c r="K490" i="1"/>
  <c r="K492" i="1"/>
  <c r="K493" i="1"/>
  <c r="K494" i="1"/>
  <c r="K495" i="1"/>
  <c r="K496" i="1"/>
  <c r="K497" i="1"/>
  <c r="K498" i="1"/>
  <c r="K500" i="1"/>
  <c r="K501" i="1"/>
  <c r="K502" i="1"/>
  <c r="K503" i="1"/>
  <c r="K504" i="1"/>
  <c r="K505" i="1"/>
  <c r="K506" i="1"/>
  <c r="K508" i="1"/>
  <c r="K509" i="1"/>
  <c r="K510" i="1"/>
  <c r="K511" i="1"/>
  <c r="K512" i="1"/>
  <c r="K513" i="1"/>
  <c r="K514" i="1"/>
  <c r="K516" i="1"/>
  <c r="K517" i="1"/>
  <c r="K518" i="1"/>
  <c r="K519" i="1"/>
  <c r="K520" i="1"/>
  <c r="K521" i="1"/>
  <c r="K522" i="1"/>
  <c r="K524" i="1"/>
  <c r="K525" i="1"/>
  <c r="K526" i="1"/>
  <c r="K527" i="1"/>
  <c r="K528" i="1"/>
  <c r="K529" i="1"/>
  <c r="K530" i="1"/>
  <c r="K532" i="1"/>
  <c r="H16" i="1"/>
  <c r="H17" i="1"/>
  <c r="H18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7" i="1"/>
  <c r="H108" i="1"/>
  <c r="H109" i="1"/>
  <c r="H110" i="1"/>
  <c r="H111" i="1"/>
  <c r="H112" i="1"/>
  <c r="H113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1" i="1"/>
  <c r="H132" i="1"/>
  <c r="H133" i="1"/>
  <c r="H134" i="1"/>
  <c r="H135" i="1"/>
  <c r="H139" i="1"/>
  <c r="H140" i="1"/>
  <c r="H142" i="1"/>
  <c r="H143" i="1"/>
  <c r="H144" i="1"/>
  <c r="H145" i="1"/>
  <c r="H147" i="1"/>
  <c r="H148" i="1"/>
  <c r="H149" i="1"/>
  <c r="H150" i="1"/>
  <c r="H151" i="1"/>
  <c r="H152" i="1"/>
  <c r="H153" i="1"/>
  <c r="H155" i="1"/>
  <c r="H156" i="1"/>
  <c r="H158" i="1"/>
  <c r="H159" i="1"/>
  <c r="H160" i="1"/>
  <c r="H161" i="1"/>
  <c r="H163" i="1"/>
  <c r="H164" i="1"/>
  <c r="H166" i="1"/>
  <c r="H167" i="1"/>
  <c r="H168" i="1"/>
  <c r="H169" i="1"/>
  <c r="H171" i="1"/>
  <c r="H172" i="1"/>
  <c r="H174" i="1"/>
  <c r="H175" i="1"/>
  <c r="H176" i="1"/>
  <c r="H177" i="1"/>
  <c r="H179" i="1"/>
  <c r="H180" i="1"/>
  <c r="H182" i="1"/>
  <c r="H183" i="1"/>
  <c r="H184" i="1"/>
  <c r="H185" i="1"/>
  <c r="H187" i="1"/>
  <c r="H188" i="1"/>
  <c r="H190" i="1"/>
  <c r="H191" i="1"/>
  <c r="H192" i="1"/>
  <c r="H193" i="1"/>
  <c r="H195" i="1"/>
  <c r="H196" i="1"/>
  <c r="H198" i="1"/>
  <c r="H199" i="1"/>
  <c r="H200" i="1"/>
  <c r="H201" i="1"/>
  <c r="H203" i="1"/>
  <c r="H204" i="1"/>
  <c r="H206" i="1"/>
  <c r="H207" i="1"/>
  <c r="H208" i="1"/>
  <c r="H209" i="1"/>
  <c r="H211" i="1"/>
  <c r="H212" i="1"/>
  <c r="H214" i="1"/>
  <c r="H215" i="1"/>
  <c r="H216" i="1"/>
  <c r="H217" i="1"/>
  <c r="H219" i="1"/>
  <c r="H220" i="1"/>
  <c r="H222" i="1"/>
  <c r="H223" i="1"/>
  <c r="H224" i="1"/>
  <c r="H225" i="1"/>
  <c r="H227" i="1"/>
  <c r="H228" i="1"/>
  <c r="H230" i="1"/>
  <c r="H231" i="1"/>
  <c r="H232" i="1"/>
  <c r="H233" i="1"/>
  <c r="H235" i="1"/>
  <c r="H236" i="1"/>
  <c r="H238" i="1"/>
  <c r="H239" i="1"/>
  <c r="H240" i="1"/>
  <c r="H241" i="1"/>
  <c r="H243" i="1"/>
  <c r="H244" i="1"/>
  <c r="H246" i="1"/>
  <c r="H247" i="1"/>
  <c r="H248" i="1"/>
  <c r="H249" i="1"/>
  <c r="H251" i="1"/>
  <c r="H252" i="1"/>
  <c r="H254" i="1"/>
  <c r="H255" i="1"/>
  <c r="H256" i="1"/>
  <c r="H257" i="1"/>
  <c r="H259" i="1"/>
  <c r="H260" i="1"/>
  <c r="H262" i="1"/>
  <c r="H263" i="1"/>
  <c r="H264" i="1"/>
  <c r="H265" i="1"/>
  <c r="H267" i="1"/>
  <c r="H268" i="1"/>
  <c r="H270" i="1"/>
  <c r="H271" i="1"/>
  <c r="H272" i="1"/>
  <c r="H273" i="1"/>
  <c r="H275" i="1"/>
  <c r="H276" i="1"/>
  <c r="H278" i="1"/>
  <c r="H279" i="1"/>
  <c r="H280" i="1"/>
  <c r="H281" i="1"/>
  <c r="H283" i="1"/>
  <c r="H284" i="1"/>
  <c r="H286" i="1"/>
  <c r="H287" i="1"/>
  <c r="H288" i="1"/>
  <c r="H289" i="1"/>
  <c r="H291" i="1"/>
  <c r="H292" i="1"/>
  <c r="H294" i="1"/>
  <c r="H295" i="1"/>
  <c r="H296" i="1"/>
  <c r="H297" i="1"/>
  <c r="H299" i="1"/>
  <c r="H300" i="1"/>
  <c r="H302" i="1"/>
  <c r="H303" i="1"/>
  <c r="H304" i="1"/>
  <c r="H305" i="1"/>
  <c r="H307" i="1"/>
  <c r="H308" i="1"/>
  <c r="H310" i="1"/>
  <c r="H311" i="1"/>
  <c r="H312" i="1"/>
  <c r="H313" i="1"/>
  <c r="H315" i="1"/>
  <c r="H316" i="1"/>
  <c r="H318" i="1"/>
  <c r="H319" i="1"/>
  <c r="H320" i="1"/>
  <c r="H321" i="1"/>
  <c r="H323" i="1"/>
  <c r="H324" i="1"/>
  <c r="H326" i="1"/>
  <c r="H327" i="1"/>
  <c r="H328" i="1"/>
  <c r="H329" i="1"/>
  <c r="H331" i="1"/>
  <c r="H332" i="1"/>
  <c r="H334" i="1"/>
  <c r="H335" i="1"/>
  <c r="H336" i="1"/>
  <c r="H337" i="1"/>
  <c r="H340" i="1"/>
  <c r="H342" i="1"/>
  <c r="H343" i="1"/>
  <c r="H344" i="1"/>
  <c r="H345" i="1"/>
  <c r="H348" i="1"/>
  <c r="H350" i="1"/>
  <c r="H351" i="1"/>
  <c r="H352" i="1"/>
  <c r="H353" i="1"/>
  <c r="H356" i="1"/>
  <c r="H358" i="1"/>
  <c r="H359" i="1"/>
  <c r="H360" i="1"/>
  <c r="H361" i="1"/>
  <c r="H364" i="1"/>
  <c r="H366" i="1"/>
  <c r="H367" i="1"/>
  <c r="H368" i="1"/>
  <c r="H369" i="1"/>
  <c r="H372" i="1"/>
  <c r="H374" i="1"/>
  <c r="H375" i="1"/>
  <c r="H376" i="1"/>
  <c r="H377" i="1"/>
  <c r="H380" i="1"/>
  <c r="H382" i="1"/>
  <c r="H383" i="1"/>
  <c r="H384" i="1"/>
  <c r="H385" i="1"/>
  <c r="H388" i="1"/>
  <c r="H390" i="1"/>
  <c r="H391" i="1"/>
  <c r="H392" i="1"/>
  <c r="H393" i="1"/>
  <c r="H396" i="1"/>
  <c r="H398" i="1"/>
  <c r="H399" i="1"/>
  <c r="H400" i="1"/>
  <c r="H401" i="1"/>
  <c r="H404" i="1"/>
  <c r="H406" i="1"/>
  <c r="H407" i="1"/>
  <c r="H408" i="1"/>
  <c r="H409" i="1"/>
  <c r="H412" i="1"/>
  <c r="H414" i="1"/>
  <c r="H415" i="1"/>
  <c r="H416" i="1"/>
  <c r="H417" i="1"/>
  <c r="H420" i="1"/>
  <c r="H422" i="1"/>
  <c r="H423" i="1"/>
  <c r="H424" i="1"/>
  <c r="H425" i="1"/>
  <c r="H428" i="1"/>
  <c r="H430" i="1"/>
  <c r="H431" i="1"/>
  <c r="H432" i="1"/>
  <c r="H433" i="1"/>
  <c r="H436" i="1"/>
  <c r="H438" i="1"/>
  <c r="H439" i="1"/>
  <c r="H440" i="1"/>
  <c r="H441" i="1"/>
  <c r="H444" i="1"/>
  <c r="H446" i="1"/>
  <c r="H447" i="1"/>
  <c r="H448" i="1"/>
  <c r="H449" i="1"/>
  <c r="H452" i="1"/>
  <c r="H454" i="1"/>
  <c r="H455" i="1"/>
  <c r="H456" i="1"/>
  <c r="H457" i="1"/>
  <c r="H460" i="1"/>
  <c r="H462" i="1"/>
  <c r="H463" i="1"/>
  <c r="H464" i="1"/>
  <c r="H465" i="1"/>
  <c r="H468" i="1"/>
  <c r="H470" i="1"/>
  <c r="H471" i="1"/>
  <c r="H472" i="1"/>
  <c r="H473" i="1"/>
  <c r="H476" i="1"/>
  <c r="H478" i="1"/>
  <c r="H479" i="1"/>
  <c r="H480" i="1"/>
  <c r="H481" i="1"/>
  <c r="H484" i="1"/>
  <c r="H486" i="1"/>
  <c r="H487" i="1"/>
  <c r="H488" i="1"/>
  <c r="H489" i="1"/>
  <c r="H492" i="1"/>
  <c r="H494" i="1"/>
  <c r="H495" i="1"/>
  <c r="H496" i="1"/>
  <c r="H497" i="1"/>
  <c r="H500" i="1"/>
  <c r="H502" i="1"/>
  <c r="H503" i="1"/>
  <c r="H504" i="1"/>
  <c r="H505" i="1"/>
  <c r="H508" i="1"/>
  <c r="H510" i="1"/>
  <c r="H511" i="1"/>
  <c r="H512" i="1"/>
  <c r="H513" i="1"/>
  <c r="H516" i="1"/>
  <c r="H518" i="1"/>
  <c r="H519" i="1"/>
  <c r="H520" i="1"/>
  <c r="H521" i="1"/>
  <c r="H524" i="1"/>
  <c r="H526" i="1"/>
  <c r="H527" i="1"/>
  <c r="H528" i="1"/>
  <c r="H529" i="1"/>
  <c r="H532" i="1"/>
  <c r="T14" i="1"/>
  <c r="Q14" i="1"/>
  <c r="V14" i="1" l="1"/>
  <c r="W14" i="1" s="1"/>
  <c r="W15" i="1"/>
  <c r="W9" i="1"/>
  <c r="T9" i="1"/>
  <c r="Q9" i="1"/>
  <c r="N9" i="1"/>
  <c r="K9" i="1"/>
  <c r="K11" i="1" s="1"/>
  <c r="H14" i="1"/>
  <c r="H10" i="1" s="1"/>
  <c r="H11" i="1"/>
  <c r="N10" i="1" l="1"/>
  <c r="N11" i="1" l="1"/>
  <c r="Q10" i="1"/>
  <c r="Q11" i="1" s="1"/>
  <c r="T10" i="1" l="1"/>
  <c r="T11" i="1" s="1"/>
  <c r="W10" i="1" l="1"/>
  <c r="W11" i="1" s="1"/>
</calcChain>
</file>

<file path=xl/sharedStrings.xml><?xml version="1.0" encoding="utf-8"?>
<sst xmlns="http://schemas.openxmlformats.org/spreadsheetml/2006/main" count="1085" uniqueCount="1051">
  <si>
    <t>PERMNO</t>
  </si>
  <si>
    <t>Ticker Symbol</t>
  </si>
  <si>
    <t>Company Name</t>
  </si>
  <si>
    <t>PERMCO</t>
  </si>
  <si>
    <t>ORCL</t>
  </si>
  <si>
    <t>ORACLE CORP</t>
  </si>
  <si>
    <t>MSFT</t>
  </si>
  <si>
    <t>MICROSOFT CORP</t>
  </si>
  <si>
    <t>TROW</t>
  </si>
  <si>
    <t>T ROWE PRICE GROUP INC</t>
  </si>
  <si>
    <t>HON</t>
  </si>
  <si>
    <t>HONEYWELL INTERNATIONAL INC</t>
  </si>
  <si>
    <t>ADM</t>
  </si>
  <si>
    <t>ARCHER DANIELS MIDLAND CO</t>
  </si>
  <si>
    <t>FI</t>
  </si>
  <si>
    <t>FISERV INC</t>
  </si>
  <si>
    <t>CAL</t>
  </si>
  <si>
    <t>CALERES INC</t>
  </si>
  <si>
    <t>KO</t>
  </si>
  <si>
    <t>COCA COLA CO</t>
  </si>
  <si>
    <t>CDNS</t>
  </si>
  <si>
    <t>CADENCE DESIGN SYSTEMS INC</t>
  </si>
  <si>
    <t>ED</t>
  </si>
  <si>
    <t>CONSOLIDATED EDISON INC</t>
  </si>
  <si>
    <t>FICO</t>
  </si>
  <si>
    <t>FAIR ISAAC CORP</t>
  </si>
  <si>
    <t>FAST</t>
  </si>
  <si>
    <t>FASTENAL CO</t>
  </si>
  <si>
    <t>DTE</t>
  </si>
  <si>
    <t>D T E ENERGY CO</t>
  </si>
  <si>
    <t>ETN</t>
  </si>
  <si>
    <t>EATON CORP PLC</t>
  </si>
  <si>
    <t>XOM</t>
  </si>
  <si>
    <t>EXXON MOBIL CORP</t>
  </si>
  <si>
    <t>MGM</t>
  </si>
  <si>
    <t>M G M RESORTS INTERNATIONAL</t>
  </si>
  <si>
    <t>WM</t>
  </si>
  <si>
    <t>WASTE MANAGEMENT INC DEL</t>
  </si>
  <si>
    <t>GD</t>
  </si>
  <si>
    <t>GENERAL DYNAMICS CORP</t>
  </si>
  <si>
    <t>GE</t>
  </si>
  <si>
    <t>GENERAL ELECTRIC CO</t>
  </si>
  <si>
    <t>LH</t>
  </si>
  <si>
    <t>NXPI</t>
  </si>
  <si>
    <t>N X P SEMICONDUCTORS N V</t>
  </si>
  <si>
    <t>CHTR</t>
  </si>
  <si>
    <t>CHARTER COMMUNICATIONS INC NEW</t>
  </si>
  <si>
    <t>LYB</t>
  </si>
  <si>
    <t>LYONDELLBASELL INDUSTRIES N V</t>
  </si>
  <si>
    <t>GM</t>
  </si>
  <si>
    <t>GENERAL MOTORS CO</t>
  </si>
  <si>
    <t>TT</t>
  </si>
  <si>
    <t>TRANE TECHNOLOGIES PLC</t>
  </si>
  <si>
    <t>TRGP</t>
  </si>
  <si>
    <t>TARGA RESOURCES CORP</t>
  </si>
  <si>
    <t>IBM</t>
  </si>
  <si>
    <t>INTERNATIONAL BUSINESS MACHS COR</t>
  </si>
  <si>
    <t>KMI</t>
  </si>
  <si>
    <t>KINDER MORGAN INC</t>
  </si>
  <si>
    <t>ITT</t>
  </si>
  <si>
    <t>I T T INC</t>
  </si>
  <si>
    <t>HCA</t>
  </si>
  <si>
    <t>H C A HEALTHCARE INC</t>
  </si>
  <si>
    <t>HII</t>
  </si>
  <si>
    <t>HUNTINGTON INGALLS INDS INC</t>
  </si>
  <si>
    <t>MPC</t>
  </si>
  <si>
    <t>MARATHON PETROLEUM CORP</t>
  </si>
  <si>
    <t>XYL</t>
  </si>
  <si>
    <t>XYLEM INC</t>
  </si>
  <si>
    <t>APTV</t>
  </si>
  <si>
    <t>EPAM</t>
  </si>
  <si>
    <t>EPAM SYSTEMS INC</t>
  </si>
  <si>
    <t>ENPH</t>
  </si>
  <si>
    <t>ENPHASE ENERGY INC</t>
  </si>
  <si>
    <t>PSX</t>
  </si>
  <si>
    <t>PHILLIPS 66</t>
  </si>
  <si>
    <t>META</t>
  </si>
  <si>
    <t>META PLATFORMS INC</t>
  </si>
  <si>
    <t>NOW</t>
  </si>
  <si>
    <t>SERVICENOW INC</t>
  </si>
  <si>
    <t>PANW</t>
  </si>
  <si>
    <t>PALO ALTO NETWORKS INC</t>
  </si>
  <si>
    <t>PNR</t>
  </si>
  <si>
    <t>PENTAIR PLC</t>
  </si>
  <si>
    <t>FANG</t>
  </si>
  <si>
    <t>DIAMONDBACK ENERGY INC</t>
  </si>
  <si>
    <t>PCG</t>
  </si>
  <si>
    <t>P G &amp; E CORP</t>
  </si>
  <si>
    <t>ABBV</t>
  </si>
  <si>
    <t>ABBVIE INC</t>
  </si>
  <si>
    <t>NCLH</t>
  </si>
  <si>
    <t>NORWEGIAN CRUISE LINE HLDGS LTD</t>
  </si>
  <si>
    <t>ZTS</t>
  </si>
  <si>
    <t>ZOETIS INC</t>
  </si>
  <si>
    <t>PEP</t>
  </si>
  <si>
    <t>PEPSICO INC</t>
  </si>
  <si>
    <t>MO</t>
  </si>
  <si>
    <t>ALTRIA GROUP INC</t>
  </si>
  <si>
    <t>IQV</t>
  </si>
  <si>
    <t>IQVIA HOLDINGS INC</t>
  </si>
  <si>
    <t>COP</t>
  </si>
  <si>
    <t>CONOCOPHILLIPS</t>
  </si>
  <si>
    <t>CDW</t>
  </si>
  <si>
    <t>C D W CORP NEW</t>
  </si>
  <si>
    <t>NWSA</t>
  </si>
  <si>
    <t>NEWS CORP NEW</t>
  </si>
  <si>
    <t>NWS</t>
  </si>
  <si>
    <t>AMGN</t>
  </si>
  <si>
    <t>AMGEN INC</t>
  </si>
  <si>
    <t>DOC</t>
  </si>
  <si>
    <t>XPRO</t>
  </si>
  <si>
    <t>EXPRO GROUP HOLDINGS N V</t>
  </si>
  <si>
    <t>SLB</t>
  </si>
  <si>
    <t>SCHLUMBERGER LTD</t>
  </si>
  <si>
    <t>ALLE</t>
  </si>
  <si>
    <t>ALLEGION PLC</t>
  </si>
  <si>
    <t>HLT</t>
  </si>
  <si>
    <t>HILTON WORLDWIDE HOLDINGS INC</t>
  </si>
  <si>
    <t>CVX</t>
  </si>
  <si>
    <t>CHEVRON CORP NEW</t>
  </si>
  <si>
    <t>GOOG</t>
  </si>
  <si>
    <t>ALPHABET INC</t>
  </si>
  <si>
    <t>PAYC</t>
  </si>
  <si>
    <t>PAYCOM SOFTWARE INC</t>
  </si>
  <si>
    <t>AAPL</t>
  </si>
  <si>
    <t>APPLE INC</t>
  </si>
  <si>
    <t>AMAT</t>
  </si>
  <si>
    <t>APPLIED MATERIALS INC</t>
  </si>
  <si>
    <t>ANET</t>
  </si>
  <si>
    <t>ARISTA NETWORKS INC</t>
  </si>
  <si>
    <t>SYF</t>
  </si>
  <si>
    <t>SYNCHRONY FINANCIAL</t>
  </si>
  <si>
    <t>CZR</t>
  </si>
  <si>
    <t>CAESARS ENTERTAINMENT INC DE</t>
  </si>
  <si>
    <t>CFG</t>
  </si>
  <si>
    <t>CITIZENS FINANCIAL GROUP INC</t>
  </si>
  <si>
    <t>KEYS</t>
  </si>
  <si>
    <t>KEYSIGHT TECHNOLOGIES INC</t>
  </si>
  <si>
    <t>VMC</t>
  </si>
  <si>
    <t>VULCAN MATERIALS CO</t>
  </si>
  <si>
    <t>KHC</t>
  </si>
  <si>
    <t>KRAFT HEINZ CO</t>
  </si>
  <si>
    <t>PYPL</t>
  </si>
  <si>
    <t>PAYPAL HOLDINGS INC</t>
  </si>
  <si>
    <t>TXN</t>
  </si>
  <si>
    <t>TEXAS INSTRUMENTS INC</t>
  </si>
  <si>
    <t>HPE</t>
  </si>
  <si>
    <t>HEWLETT PACKARD ENTERPRISE CO</t>
  </si>
  <si>
    <t>EIX</t>
  </si>
  <si>
    <t>EDISON INTERNATIONAL</t>
  </si>
  <si>
    <t>MTCH</t>
  </si>
  <si>
    <t>MATCH GROUP INC NEW</t>
  </si>
  <si>
    <t>FTV</t>
  </si>
  <si>
    <t>FORTIVE CORP</t>
  </si>
  <si>
    <t>LW</t>
  </si>
  <si>
    <t>LAMB WESTON HOLDINGS INC</t>
  </si>
  <si>
    <t>INVH</t>
  </si>
  <si>
    <t>INVITATION HOMES INC</t>
  </si>
  <si>
    <t>HSY</t>
  </si>
  <si>
    <t>HERSHEY CO</t>
  </si>
  <si>
    <t>KR</t>
  </si>
  <si>
    <t>KROGER CO</t>
  </si>
  <si>
    <t>IR</t>
  </si>
  <si>
    <t>INGERSOLL RAND INC</t>
  </si>
  <si>
    <t>DD</t>
  </si>
  <si>
    <t>DUPONT DE NEMOURS INC</t>
  </si>
  <si>
    <t>CVS</t>
  </si>
  <si>
    <t>C V S HEALTH CORP</t>
  </si>
  <si>
    <t>GIS</t>
  </si>
  <si>
    <t>GENERAL MILLS INC</t>
  </si>
  <si>
    <t>VICI</t>
  </si>
  <si>
    <t>VICI PROPERTIES INC</t>
  </si>
  <si>
    <t>SPGI</t>
  </si>
  <si>
    <t>S &amp; P GLOBAL INC</t>
  </si>
  <si>
    <t>WRB</t>
  </si>
  <si>
    <t>BERKLEY W R CORP</t>
  </si>
  <si>
    <t>KMB</t>
  </si>
  <si>
    <t>KIMBERLY CLARK CORP</t>
  </si>
  <si>
    <t>RTX</t>
  </si>
  <si>
    <t>R T X CORP</t>
  </si>
  <si>
    <t>KDP</t>
  </si>
  <si>
    <t>KEURIG DR PEPPER INC</t>
  </si>
  <si>
    <t>LIN</t>
  </si>
  <si>
    <t>LINDE PLC NEW</t>
  </si>
  <si>
    <t>PG</t>
  </si>
  <si>
    <t>PROCTER &amp; GAMBLE CO</t>
  </si>
  <si>
    <t>AMR</t>
  </si>
  <si>
    <t>ALPHA METALLURGICAL RES INC</t>
  </si>
  <si>
    <t>MRNA</t>
  </si>
  <si>
    <t>MODERNA INC</t>
  </si>
  <si>
    <t>SO</t>
  </si>
  <si>
    <t>SOUTHERN CO</t>
  </si>
  <si>
    <t>FOXA</t>
  </si>
  <si>
    <t>FOX CORP</t>
  </si>
  <si>
    <t>FOX</t>
  </si>
  <si>
    <t>DOW</t>
  </si>
  <si>
    <t>DOW INC</t>
  </si>
  <si>
    <t>CAT</t>
  </si>
  <si>
    <t>CATERPILLAR INC</t>
  </si>
  <si>
    <t>UBER</t>
  </si>
  <si>
    <t>UBER TECHNOLOGIES INC</t>
  </si>
  <si>
    <t>CTVA</t>
  </si>
  <si>
    <t>CORTEVA INC</t>
  </si>
  <si>
    <t>AMCR</t>
  </si>
  <si>
    <t>AMCOR PLC</t>
  </si>
  <si>
    <t>CL</t>
  </si>
  <si>
    <t>COLGATE PALMOLIVE CO</t>
  </si>
  <si>
    <t>FMC</t>
  </si>
  <si>
    <t>F M C CORP</t>
  </si>
  <si>
    <t>CARR</t>
  </si>
  <si>
    <t>CARRIER GLOBAL CORP</t>
  </si>
  <si>
    <t>OTIS</t>
  </si>
  <si>
    <t>OTIS WORLDWIDE CORP</t>
  </si>
  <si>
    <t>DE</t>
  </si>
  <si>
    <t>DEERE &amp; CO</t>
  </si>
  <si>
    <t>BMY</t>
  </si>
  <si>
    <t>BRISTOL MYERS SQUIBB CO</t>
  </si>
  <si>
    <t>WBA</t>
  </si>
  <si>
    <t>WALGREENS BOOTS ALLIANCE INC</t>
  </si>
  <si>
    <t>BA</t>
  </si>
  <si>
    <t>BOEING CO</t>
  </si>
  <si>
    <t>IVZ</t>
  </si>
  <si>
    <t>INVESCO LTD</t>
  </si>
  <si>
    <t>VTRS</t>
  </si>
  <si>
    <t>VIATRIS INC</t>
  </si>
  <si>
    <t>ABNB</t>
  </si>
  <si>
    <t>AIRBNB INC</t>
  </si>
  <si>
    <t>ABT</t>
  </si>
  <si>
    <t>ABBOTT LABORATORIES</t>
  </si>
  <si>
    <t>LMT</t>
  </si>
  <si>
    <t>LOCKHEED MARTIN CORP</t>
  </si>
  <si>
    <t>NEM</t>
  </si>
  <si>
    <t>NEWMONT CORP</t>
  </si>
  <si>
    <t>CAH</t>
  </si>
  <si>
    <t>CARDINAL HEALTH INC</t>
  </si>
  <si>
    <t>METV</t>
  </si>
  <si>
    <t>LISTED FUNDS TRUST</t>
  </si>
  <si>
    <t>IP</t>
  </si>
  <si>
    <t>INTERNATIONAL PAPER CO</t>
  </si>
  <si>
    <t>EXC</t>
  </si>
  <si>
    <t>EXELON CORP</t>
  </si>
  <si>
    <t>CNP</t>
  </si>
  <si>
    <t>CENTERPOINT ENERGY INC</t>
  </si>
  <si>
    <t>PFE</t>
  </si>
  <si>
    <t>PFIZER INC</t>
  </si>
  <si>
    <t>EMR</t>
  </si>
  <si>
    <t>EMERSON ELECTRIC CO</t>
  </si>
  <si>
    <t>JNJ</t>
  </si>
  <si>
    <t>JOHNSON &amp; JOHNSON</t>
  </si>
  <si>
    <t>GLW</t>
  </si>
  <si>
    <t>CORNING INC</t>
  </si>
  <si>
    <t>PPG</t>
  </si>
  <si>
    <t>P P G INDUSTRIES INC</t>
  </si>
  <si>
    <t>PPL</t>
  </si>
  <si>
    <t>P P L CORP</t>
  </si>
  <si>
    <t>MMM</t>
  </si>
  <si>
    <t>3M CO</t>
  </si>
  <si>
    <t>CEG</t>
  </si>
  <si>
    <t>CONSTELLATION ENERGY CORP</t>
  </si>
  <si>
    <t>MRK</t>
  </si>
  <si>
    <t>MERCK &amp; CO INC NEW</t>
  </si>
  <si>
    <t>MSI</t>
  </si>
  <si>
    <t>MOTOROLA SOLUTIONS INC</t>
  </si>
  <si>
    <t>WBD</t>
  </si>
  <si>
    <t>WARNER BROS DISCOVERY INC</t>
  </si>
  <si>
    <t>FE</t>
  </si>
  <si>
    <t>FIRSTENERGY CORP</t>
  </si>
  <si>
    <t>CMS</t>
  </si>
  <si>
    <t>C M S ENERGY CORP</t>
  </si>
  <si>
    <t>CHD</t>
  </si>
  <si>
    <t>CHURCH &amp; DWIGHT INC</t>
  </si>
  <si>
    <t>CINF</t>
  </si>
  <si>
    <t>CINCINNATI FINANCIAL CORP</t>
  </si>
  <si>
    <t>WEC</t>
  </si>
  <si>
    <t>W E C ENERGY GROUP INC</t>
  </si>
  <si>
    <t>GEHC</t>
  </si>
  <si>
    <t>G E HEALTHCARE TECHNOLOGIES INC</t>
  </si>
  <si>
    <t>TXT</t>
  </si>
  <si>
    <t>TEXTRON INC</t>
  </si>
  <si>
    <t>CTAS</t>
  </si>
  <si>
    <t>CINTAS CORP</t>
  </si>
  <si>
    <t>PEG</t>
  </si>
  <si>
    <t>PUBLIC SERVICE ENTERPRISE GP INC</t>
  </si>
  <si>
    <t>HAL</t>
  </si>
  <si>
    <t>HALLIBURTON CO</t>
  </si>
  <si>
    <t>KVUE</t>
  </si>
  <si>
    <t>KENVUE INC</t>
  </si>
  <si>
    <t>XEL</t>
  </si>
  <si>
    <t>X C E L ENERGY INC</t>
  </si>
  <si>
    <t>ETR</t>
  </si>
  <si>
    <t>ENTERGY CORP NEW</t>
  </si>
  <si>
    <t>EVRG</t>
  </si>
  <si>
    <t>EVERGY INC</t>
  </si>
  <si>
    <t>AEP</t>
  </si>
  <si>
    <t>AMERICAN ELECTRIC POWER CO INC</t>
  </si>
  <si>
    <t>VLTO</t>
  </si>
  <si>
    <t>VERALTO CORP</t>
  </si>
  <si>
    <t>NEE</t>
  </si>
  <si>
    <t>NEXTERA ENERGY INC</t>
  </si>
  <si>
    <t>EQT</t>
  </si>
  <si>
    <t>E Q T CORP</t>
  </si>
  <si>
    <t>HWM</t>
  </si>
  <si>
    <t>HOWMET AEROSPACE INC</t>
  </si>
  <si>
    <t>NOC</t>
  </si>
  <si>
    <t>NORTHROP GRUMMAN CORP</t>
  </si>
  <si>
    <t>AEE</t>
  </si>
  <si>
    <t>AMEREN CORP</t>
  </si>
  <si>
    <t>OKE</t>
  </si>
  <si>
    <t>ONEOK INC NEW</t>
  </si>
  <si>
    <t>CPB</t>
  </si>
  <si>
    <t>LHX</t>
  </si>
  <si>
    <t>L3HARRIS TECHNOLOGIES INC</t>
  </si>
  <si>
    <t>F</t>
  </si>
  <si>
    <t>FORD MOTOR CO DEL</t>
  </si>
  <si>
    <t>DOV</t>
  </si>
  <si>
    <t>DOVER CORP</t>
  </si>
  <si>
    <t>DIS</t>
  </si>
  <si>
    <t>DISNEY WALT CO</t>
  </si>
  <si>
    <t>BH</t>
  </si>
  <si>
    <t>BIGLARI HOLDINGS INC</t>
  </si>
  <si>
    <t>L</t>
  </si>
  <si>
    <t>LOEWS CORP</t>
  </si>
  <si>
    <t>K</t>
  </si>
  <si>
    <t>KELLANOVA</t>
  </si>
  <si>
    <t>HPQ</t>
  </si>
  <si>
    <t>H P INC</t>
  </si>
  <si>
    <t>BAX</t>
  </si>
  <si>
    <t>BAXTER INTERNATIONAL INC</t>
  </si>
  <si>
    <t>DUK</t>
  </si>
  <si>
    <t>DUKE ENERGY CORP NEW</t>
  </si>
  <si>
    <t>PNW</t>
  </si>
  <si>
    <t>PINNACLE WEST CAPITAL CORP</t>
  </si>
  <si>
    <t>APD</t>
  </si>
  <si>
    <t>AIR PRODUCTS &amp; CHEMICALS INC</t>
  </si>
  <si>
    <t>HES</t>
  </si>
  <si>
    <t>HESS CORP</t>
  </si>
  <si>
    <t>OMC</t>
  </si>
  <si>
    <t>OMNICOM GROUP INC</t>
  </si>
  <si>
    <t>HRL</t>
  </si>
  <si>
    <t>HORMEL FOODS CORP</t>
  </si>
  <si>
    <t>HUBB</t>
  </si>
  <si>
    <t>HUBBELL INC</t>
  </si>
  <si>
    <t>ATO</t>
  </si>
  <si>
    <t>ATMOS ENERGY CORP</t>
  </si>
  <si>
    <t>MAS</t>
  </si>
  <si>
    <t>MASCO CORP</t>
  </si>
  <si>
    <t>FITB</t>
  </si>
  <si>
    <t>FIFTH THIRD BANCORP</t>
  </si>
  <si>
    <t>NUE</t>
  </si>
  <si>
    <t>NUCOR CORP</t>
  </si>
  <si>
    <t>OXY</t>
  </si>
  <si>
    <t>OCCIDENTAL PETROLEUM CORP</t>
  </si>
  <si>
    <t>RF</t>
  </si>
  <si>
    <t>REGIONS FINANCIAL CORP NEW</t>
  </si>
  <si>
    <t>MTB</t>
  </si>
  <si>
    <t>M &amp; T BANK CORP</t>
  </si>
  <si>
    <t>ROL</t>
  </si>
  <si>
    <t>ROLLINS INC</t>
  </si>
  <si>
    <t>SHW</t>
  </si>
  <si>
    <t>SHERWIN WILLIAMS CO</t>
  </si>
  <si>
    <t>BEN</t>
  </si>
  <si>
    <t>FRANKLIN RESOURCES INC</t>
  </si>
  <si>
    <t>AJG</t>
  </si>
  <si>
    <t>GALLAGHER ARTHUR J &amp; CO</t>
  </si>
  <si>
    <t>WMB</t>
  </si>
  <si>
    <t>WILLIAMS COS</t>
  </si>
  <si>
    <t>WFC</t>
  </si>
  <si>
    <t>WELLS FARGO &amp; CO NEW</t>
  </si>
  <si>
    <t>NI</t>
  </si>
  <si>
    <t>NISOURCE INC</t>
  </si>
  <si>
    <t>APA</t>
  </si>
  <si>
    <t>A P A CORP</t>
  </si>
  <si>
    <t>BDX</t>
  </si>
  <si>
    <t>BECTON DICKINSON &amp; CO</t>
  </si>
  <si>
    <t>WY</t>
  </si>
  <si>
    <t>WEYERHAEUSER CO</t>
  </si>
  <si>
    <t>IFF</t>
  </si>
  <si>
    <t>INTERNATIONAL FLAVORS &amp; FRAG INC</t>
  </si>
  <si>
    <t>TJX</t>
  </si>
  <si>
    <t>T J X COMPANIES INC NEW</t>
  </si>
  <si>
    <t>CMI</t>
  </si>
  <si>
    <t>CUMMINS INC</t>
  </si>
  <si>
    <t>PH</t>
  </si>
  <si>
    <t>PARKER HANNIFIN CORP</t>
  </si>
  <si>
    <t>RVTY</t>
  </si>
  <si>
    <t>REVVITY INC</t>
  </si>
  <si>
    <t>SJM</t>
  </si>
  <si>
    <t>SMUCKER J M CO</t>
  </si>
  <si>
    <t>JBHT</t>
  </si>
  <si>
    <t>HUNT J B TRANSPORT SERVICES INC</t>
  </si>
  <si>
    <t>HBAN</t>
  </si>
  <si>
    <t>HUNTINGTON BANCSHARES INC</t>
  </si>
  <si>
    <t>ATI</t>
  </si>
  <si>
    <t>A T I INC</t>
  </si>
  <si>
    <t>SWK</t>
  </si>
  <si>
    <t>STANLEY BLACK &amp; DECKER INC</t>
  </si>
  <si>
    <t>MCD</t>
  </si>
  <si>
    <t>MCDONALDS CORP</t>
  </si>
  <si>
    <t>ES</t>
  </si>
  <si>
    <t>EVERSOURCE ENERGY</t>
  </si>
  <si>
    <t>TFX</t>
  </si>
  <si>
    <t>TELEFLEX INC</t>
  </si>
  <si>
    <t>AVY</t>
  </si>
  <si>
    <t>AVERY DENNISON CORP</t>
  </si>
  <si>
    <t>ADP</t>
  </si>
  <si>
    <t>AUTOMATIC DATA PROCESSING INC</t>
  </si>
  <si>
    <t>JCI</t>
  </si>
  <si>
    <t>JOHNSON CONTROLS INTL PLC</t>
  </si>
  <si>
    <t>MMC</t>
  </si>
  <si>
    <t>MARSH &amp; MCLENNAN COS INC</t>
  </si>
  <si>
    <t>SWKS</t>
  </si>
  <si>
    <t>SKYWORKS SOLUTIONS INC</t>
  </si>
  <si>
    <t>CLX</t>
  </si>
  <si>
    <t>CLOROX CO</t>
  </si>
  <si>
    <t>GPC</t>
  </si>
  <si>
    <t>GENUINE PARTS CO</t>
  </si>
  <si>
    <t>HST</t>
  </si>
  <si>
    <t>HOST HOTELS &amp; RESORTS INC</t>
  </si>
  <si>
    <t>KLAC</t>
  </si>
  <si>
    <t>K L A CORP</t>
  </si>
  <si>
    <t>JPM</t>
  </si>
  <si>
    <t>JPMORGAN CHASE &amp; CO</t>
  </si>
  <si>
    <t>LRCX</t>
  </si>
  <si>
    <t>LAM RESH CORP</t>
  </si>
  <si>
    <t>MCO</t>
  </si>
  <si>
    <t>MOODYS CORP</t>
  </si>
  <si>
    <t>HUM</t>
  </si>
  <si>
    <t>HUMANA INC</t>
  </si>
  <si>
    <t>UNP</t>
  </si>
  <si>
    <t>UNION PACIFIC CORP</t>
  </si>
  <si>
    <t>TGT</t>
  </si>
  <si>
    <t>TARGET CORP</t>
  </si>
  <si>
    <t>BK</t>
  </si>
  <si>
    <t>BANK OF NEW YORK MELLON CORP</t>
  </si>
  <si>
    <t>DHR</t>
  </si>
  <si>
    <t>DANAHER CORP</t>
  </si>
  <si>
    <t>LEE</t>
  </si>
  <si>
    <t>LEE ENTERPRISES INC</t>
  </si>
  <si>
    <t>LLY</t>
  </si>
  <si>
    <t>LILLY ELI &amp; CO</t>
  </si>
  <si>
    <t>TER</t>
  </si>
  <si>
    <t>TERADYNE INC</t>
  </si>
  <si>
    <t>SYY</t>
  </si>
  <si>
    <t>SYSCO CORP</t>
  </si>
  <si>
    <t>MKC</t>
  </si>
  <si>
    <t>MCCORMICK &amp; CO INC</t>
  </si>
  <si>
    <t>J</t>
  </si>
  <si>
    <t>JACOBS SOLUTIONS INC</t>
  </si>
  <si>
    <t>EFX</t>
  </si>
  <si>
    <t>EQUIFAX INC</t>
  </si>
  <si>
    <t>GWW</t>
  </si>
  <si>
    <t>GRAINGER W W INC</t>
  </si>
  <si>
    <t>LEN</t>
  </si>
  <si>
    <t>LENNAR CORP</t>
  </si>
  <si>
    <t>HAS</t>
  </si>
  <si>
    <t>HASBRO INC</t>
  </si>
  <si>
    <t>IPG</t>
  </si>
  <si>
    <t>INTERPUBLIC GROUP COS INC</t>
  </si>
  <si>
    <t>MU</t>
  </si>
  <si>
    <t>MICRON TECHNOLOGY INC</t>
  </si>
  <si>
    <t>PHM</t>
  </si>
  <si>
    <t>PULTE GROUP INC</t>
  </si>
  <si>
    <t>WMT</t>
  </si>
  <si>
    <t>WALMART INC</t>
  </si>
  <si>
    <t>CAG</t>
  </si>
  <si>
    <t>CONAGRA BRANDS INC</t>
  </si>
  <si>
    <t>ITW</t>
  </si>
  <si>
    <t>ILLINOIS TOOL WORKS INC</t>
  </si>
  <si>
    <t>BALL</t>
  </si>
  <si>
    <t>BALL CORP</t>
  </si>
  <si>
    <t>NKE</t>
  </si>
  <si>
    <t>NIKE INC</t>
  </si>
  <si>
    <t>NDSN</t>
  </si>
  <si>
    <t>NORDSON CORP</t>
  </si>
  <si>
    <t>AFL</t>
  </si>
  <si>
    <t>AFLAC INC</t>
  </si>
  <si>
    <t>NTRS</t>
  </si>
  <si>
    <t>NORTHERN TRUST CORP</t>
  </si>
  <si>
    <t>FRT</t>
  </si>
  <si>
    <t>FEDERAL REALTY INVESTMENT TR NEW</t>
  </si>
  <si>
    <t>LUV</t>
  </si>
  <si>
    <t>SOUTHWEST AIRLINES CO</t>
  </si>
  <si>
    <t>LNT</t>
  </si>
  <si>
    <t>ALLIANT ENERGY CORP</t>
  </si>
  <si>
    <t>AXP</t>
  </si>
  <si>
    <t>AMERICAN EXPRESS CO</t>
  </si>
  <si>
    <t>TAP</t>
  </si>
  <si>
    <t>MOLSON COORS BEVERAGE CO</t>
  </si>
  <si>
    <t>UDR</t>
  </si>
  <si>
    <t>U D R INC</t>
  </si>
  <si>
    <t>INTC</t>
  </si>
  <si>
    <t>INTEL CORP</t>
  </si>
  <si>
    <t>BAC</t>
  </si>
  <si>
    <t>BANK OF AMERICA CORP</t>
  </si>
  <si>
    <t>TRV</t>
  </si>
  <si>
    <t>TRAVELERS COMPANIES INC</t>
  </si>
  <si>
    <t>MDT</t>
  </si>
  <si>
    <t>MEDTRONIC PLC</t>
  </si>
  <si>
    <t>SNA</t>
  </si>
  <si>
    <t>SNAP ON INC</t>
  </si>
  <si>
    <t>PNC</t>
  </si>
  <si>
    <t>P N C FINANCIAL SERVICES GRP INC</t>
  </si>
  <si>
    <t>PCAR</t>
  </si>
  <si>
    <t>PACCAR INC</t>
  </si>
  <si>
    <t>FDX</t>
  </si>
  <si>
    <t>FEDEX CORP</t>
  </si>
  <si>
    <t>ADI</t>
  </si>
  <si>
    <t>ANALOG DEVICES INC</t>
  </si>
  <si>
    <t>PAR</t>
  </si>
  <si>
    <t>PAR TECHNOLOGY CORP</t>
  </si>
  <si>
    <t>AMD</t>
  </si>
  <si>
    <t>ADVANCED MICRO DEVICES INC</t>
  </si>
  <si>
    <t>LOW</t>
  </si>
  <si>
    <t>LOWES COMPANIES INC</t>
  </si>
  <si>
    <t>PAYX</t>
  </si>
  <si>
    <t>PAYCHEX INC</t>
  </si>
  <si>
    <t>AON</t>
  </si>
  <si>
    <t>AON PLC NEW</t>
  </si>
  <si>
    <t>TMO</t>
  </si>
  <si>
    <t>THERMO FISHER SCIENTIFIC INC</t>
  </si>
  <si>
    <t>CSX</t>
  </si>
  <si>
    <t>C S X CORP</t>
  </si>
  <si>
    <t>GL</t>
  </si>
  <si>
    <t>GLOBE LIFE INC</t>
  </si>
  <si>
    <t>WST</t>
  </si>
  <si>
    <t>WEST PHARMACEUTICAL SERVICES INC</t>
  </si>
  <si>
    <t>BRO</t>
  </si>
  <si>
    <t>BROWN &amp; BROWN INC</t>
  </si>
  <si>
    <t>CI</t>
  </si>
  <si>
    <t>CIGNA GROUP</t>
  </si>
  <si>
    <t>BBWI</t>
  </si>
  <si>
    <t>BATH &amp; BODY WORKS INC</t>
  </si>
  <si>
    <t>NSC</t>
  </si>
  <si>
    <t>NORFOLK SOUTHERN CORP</t>
  </si>
  <si>
    <t>PGR</t>
  </si>
  <si>
    <t>PROGRESSIVE CORP OH</t>
  </si>
  <si>
    <t>PSA</t>
  </si>
  <si>
    <t>PUBLIC STORAGE</t>
  </si>
  <si>
    <t>D</t>
  </si>
  <si>
    <t>DOMINION ENERGY INC</t>
  </si>
  <si>
    <t>KEY</t>
  </si>
  <si>
    <t>KEYCORP NEW</t>
  </si>
  <si>
    <t>AOS</t>
  </si>
  <si>
    <t>SMITH A O CORP</t>
  </si>
  <si>
    <t>COO</t>
  </si>
  <si>
    <t>COOPER COMPANIES INC</t>
  </si>
  <si>
    <t>VZ</t>
  </si>
  <si>
    <t>VERIZON COMMUNICATIONS INC</t>
  </si>
  <si>
    <t>T</t>
  </si>
  <si>
    <t>A T &amp; T INC</t>
  </si>
  <si>
    <t>USB</t>
  </si>
  <si>
    <t>U S BANCORP DEL</t>
  </si>
  <si>
    <t>HD</t>
  </si>
  <si>
    <t>HOME DEPOT INC</t>
  </si>
  <si>
    <t>WDC</t>
  </si>
  <si>
    <t>WESTERN DIGITAL CORP</t>
  </si>
  <si>
    <t>AIG</t>
  </si>
  <si>
    <t>AMERICAN INTERNATIONAL GROUP INC</t>
  </si>
  <si>
    <t>MS</t>
  </si>
  <si>
    <t>MORGAN STANLEY DEAN WITTER &amp; CO</t>
  </si>
  <si>
    <t>RJF</t>
  </si>
  <si>
    <t>RAYMOND JAMES FINANCIAL INC</t>
  </si>
  <si>
    <t>STZ</t>
  </si>
  <si>
    <t>CONSTELLATION BRANDS INC</t>
  </si>
  <si>
    <t>C</t>
  </si>
  <si>
    <t>CITIGROUP INC</t>
  </si>
  <si>
    <t>ECL</t>
  </si>
  <si>
    <t>ECOLAB INC</t>
  </si>
  <si>
    <t>TFC</t>
  </si>
  <si>
    <t>TRUIST FINANCIAL CORP</t>
  </si>
  <si>
    <t>STT</t>
  </si>
  <si>
    <t>STATE STREET CORP</t>
  </si>
  <si>
    <t>SYK</t>
  </si>
  <si>
    <t>STRYKER CORP</t>
  </si>
  <si>
    <t>BKR</t>
  </si>
  <si>
    <t>BAKER HUGHES CO</t>
  </si>
  <si>
    <t>CCL</t>
  </si>
  <si>
    <t>CARNIVAL CORP</t>
  </si>
  <si>
    <t>SCHW</t>
  </si>
  <si>
    <t>SCHWAB CHARLES CORP NEW</t>
  </si>
  <si>
    <t>IEX</t>
  </si>
  <si>
    <t>IDEX CORP</t>
  </si>
  <si>
    <t>GEN</t>
  </si>
  <si>
    <t>GEN DIGITAL INC</t>
  </si>
  <si>
    <t>TECH</t>
  </si>
  <si>
    <t>BIO TECHNE CORP</t>
  </si>
  <si>
    <t>VTR</t>
  </si>
  <si>
    <t>VENTAS INC</t>
  </si>
  <si>
    <t>EOG</t>
  </si>
  <si>
    <t>EOG RESOURCES INC</t>
  </si>
  <si>
    <t>EA</t>
  </si>
  <si>
    <t>ELECTRONIC ARTS INC</t>
  </si>
  <si>
    <t>PTC</t>
  </si>
  <si>
    <t>P T C INC</t>
  </si>
  <si>
    <t>CSCO</t>
  </si>
  <si>
    <t>CISCO SYSTEMS INC</t>
  </si>
  <si>
    <t>CTRA</t>
  </si>
  <si>
    <t>COTERRA ENERGY INC</t>
  </si>
  <si>
    <t>HOLX</t>
  </si>
  <si>
    <t>HOLOGIC INC</t>
  </si>
  <si>
    <t>TYL</t>
  </si>
  <si>
    <t>TYLER TECHNOLOGIES INC</t>
  </si>
  <si>
    <t>PARA</t>
  </si>
  <si>
    <t>PARAMOUNT GLOBAL</t>
  </si>
  <si>
    <t>TRMB</t>
  </si>
  <si>
    <t>TRIMBLE INC</t>
  </si>
  <si>
    <t>AZO</t>
  </si>
  <si>
    <t>AUTOZONE INC</t>
  </si>
  <si>
    <t>REGN</t>
  </si>
  <si>
    <t>REGENERON PHARMACEUTICALS INC</t>
  </si>
  <si>
    <t>IDXX</t>
  </si>
  <si>
    <t>I D E X X LABORATORIES INC</t>
  </si>
  <si>
    <t>AES</t>
  </si>
  <si>
    <t>A E S CORP</t>
  </si>
  <si>
    <t>VRTX</t>
  </si>
  <si>
    <t>VERTEX PHARMACEUTICALS INC</t>
  </si>
  <si>
    <t>ZBRA</t>
  </si>
  <si>
    <t>ZEBRA TECHNOLOGIES CORP</t>
  </si>
  <si>
    <t>BIIB</t>
  </si>
  <si>
    <t>BIOGEN INC</t>
  </si>
  <si>
    <t>ODFL</t>
  </si>
  <si>
    <t>OLD DOMINION FREIGHT LINE INC</t>
  </si>
  <si>
    <t>KIM</t>
  </si>
  <si>
    <t>KIMCO REALTY CORP</t>
  </si>
  <si>
    <t>QCOM</t>
  </si>
  <si>
    <t>QUALCOMM INC</t>
  </si>
  <si>
    <t>GILD</t>
  </si>
  <si>
    <t>GILEAD SCIENCES INC</t>
  </si>
  <si>
    <t>ROP</t>
  </si>
  <si>
    <t>ROPER TECHNOLOGIES INC</t>
  </si>
  <si>
    <t>SNPS</t>
  </si>
  <si>
    <t>SYNOPSYS INC</t>
  </si>
  <si>
    <t>MHK</t>
  </si>
  <si>
    <t>MOHAWK INDUSTRIES INC</t>
  </si>
  <si>
    <t>BSX</t>
  </si>
  <si>
    <t>BOSTON SCIENTIFIC CORP</t>
  </si>
  <si>
    <t>STE</t>
  </si>
  <si>
    <t>STERIS PLC NEW</t>
  </si>
  <si>
    <t>DHI</t>
  </si>
  <si>
    <t>D R HORTON INC</t>
  </si>
  <si>
    <t>SBUX</t>
  </si>
  <si>
    <t>STARBUCKS CORP</t>
  </si>
  <si>
    <t>TSN</t>
  </si>
  <si>
    <t>TYSON FOODS INC</t>
  </si>
  <si>
    <t>INTU</t>
  </si>
  <si>
    <t>INTUIT INC</t>
  </si>
  <si>
    <t>MCHP</t>
  </si>
  <si>
    <t>MICROCHIP TECHNOLOGY INC</t>
  </si>
  <si>
    <t>CB</t>
  </si>
  <si>
    <t>CHUBB LTD</t>
  </si>
  <si>
    <t>JBL</t>
  </si>
  <si>
    <t>JABIL INC</t>
  </si>
  <si>
    <t>ORLY</t>
  </si>
  <si>
    <t>O REILLY AUTOMOTIVE INC NEW</t>
  </si>
  <si>
    <t>RCL</t>
  </si>
  <si>
    <t>ROYAL CARIBBEAN CRUISES LTD</t>
  </si>
  <si>
    <t>ALL</t>
  </si>
  <si>
    <t>ALLSTATE CORP</t>
  </si>
  <si>
    <t>CPT</t>
  </si>
  <si>
    <t>CAMDEN PROPERTY TRUST</t>
  </si>
  <si>
    <t>BWA</t>
  </si>
  <si>
    <t>BORGWARNER INC</t>
  </si>
  <si>
    <t>EQR</t>
  </si>
  <si>
    <t>EQUITY RESIDENTIAL</t>
  </si>
  <si>
    <t>UHS</t>
  </si>
  <si>
    <t>UNIVERSAL HEALTH SERVICES INC</t>
  </si>
  <si>
    <t>IT</t>
  </si>
  <si>
    <t>GARTNER INC</t>
  </si>
  <si>
    <t>REG</t>
  </si>
  <si>
    <t>REGENCY CENTERS CORP</t>
  </si>
  <si>
    <t>NVR</t>
  </si>
  <si>
    <t>N V R INC</t>
  </si>
  <si>
    <t>INCY</t>
  </si>
  <si>
    <t>INCYTE CORP</t>
  </si>
  <si>
    <t>EMN</t>
  </si>
  <si>
    <t>EASTMAN CHEMICAL CO</t>
  </si>
  <si>
    <t>SPG</t>
  </si>
  <si>
    <t>SIMON PROPERTY GROUP INC NEW</t>
  </si>
  <si>
    <t>MAA</t>
  </si>
  <si>
    <t>MID AMERICA APT COMMUNITIES INC</t>
  </si>
  <si>
    <t>ALB</t>
  </si>
  <si>
    <t>ALBEMARLE CORP</t>
  </si>
  <si>
    <t>MLM</t>
  </si>
  <si>
    <t>MARTIN MARIETTA MATERIALS INC</t>
  </si>
  <si>
    <t>TSCO</t>
  </si>
  <si>
    <t>TRACTOR SUPPLY CO NEW</t>
  </si>
  <si>
    <t>CPRT</t>
  </si>
  <si>
    <t>COPART INC</t>
  </si>
  <si>
    <t>AVB</t>
  </si>
  <si>
    <t>AVALONBAY COMMUNITIES INC</t>
  </si>
  <si>
    <t>ESS</t>
  </si>
  <si>
    <t>ESSEX PROPERTY TRUST INC</t>
  </si>
  <si>
    <t>O</t>
  </si>
  <si>
    <t>REALTY INCOME CORP</t>
  </si>
  <si>
    <t>COF</t>
  </si>
  <si>
    <t>CAPITAL ONE FINANCIAL CORP</t>
  </si>
  <si>
    <t>MCK</t>
  </si>
  <si>
    <t>MCKESSON H B O C INC</t>
  </si>
  <si>
    <t>DLTR</t>
  </si>
  <si>
    <t>DOLLAR TREE INC</t>
  </si>
  <si>
    <t>COR</t>
  </si>
  <si>
    <t>CENCORA INC</t>
  </si>
  <si>
    <t>COOP</t>
  </si>
  <si>
    <t>MR COOPER GROUP INC</t>
  </si>
  <si>
    <t>DRI</t>
  </si>
  <si>
    <t>DARDEN RESTAURANTS INC</t>
  </si>
  <si>
    <t>WAB</t>
  </si>
  <si>
    <t>WABTEC CORP</t>
  </si>
  <si>
    <t>RMD</t>
  </si>
  <si>
    <t>RESMED INC</t>
  </si>
  <si>
    <t>FCX</t>
  </si>
  <si>
    <t>FREEPORT MCMORAN INC</t>
  </si>
  <si>
    <t>WABC</t>
  </si>
  <si>
    <t>WESTAMERICA BANCORPORATION</t>
  </si>
  <si>
    <t>ACGL</t>
  </si>
  <si>
    <t>ARCH CAPITAL GROUP LTD NEW</t>
  </si>
  <si>
    <t>EG</t>
  </si>
  <si>
    <t>EVEREST GROUP LTD</t>
  </si>
  <si>
    <t>DVA</t>
  </si>
  <si>
    <t>DAVITA INC</t>
  </si>
  <si>
    <t>POOL</t>
  </si>
  <si>
    <t>POOL CORP</t>
  </si>
  <si>
    <t>HSIC</t>
  </si>
  <si>
    <t>SCHEIN HENRY INC</t>
  </si>
  <si>
    <t>NTAP</t>
  </si>
  <si>
    <t>NETAPP INC</t>
  </si>
  <si>
    <t>MLSS</t>
  </si>
  <si>
    <t>MILESTONE SCIENTIFIC INC</t>
  </si>
  <si>
    <t>EL</t>
  </si>
  <si>
    <t>LAUDER ESTEE COS INC</t>
  </si>
  <si>
    <t>WAT</t>
  </si>
  <si>
    <t>WATERS CORP</t>
  </si>
  <si>
    <t>HIG</t>
  </si>
  <si>
    <t>HARTFORD FINANCIAL SVCS GRP INC</t>
  </si>
  <si>
    <t>IRM</t>
  </si>
  <si>
    <t>IRON MOUNTAIN INC NEW</t>
  </si>
  <si>
    <t>FDS</t>
  </si>
  <si>
    <t>FACTSET RESEARCH SYSTEMS INC</t>
  </si>
  <si>
    <t>ANSS</t>
  </si>
  <si>
    <t>ANSYS INC</t>
  </si>
  <si>
    <t>STLD</t>
  </si>
  <si>
    <t>STEEL DYNAMICS INC</t>
  </si>
  <si>
    <t>DGX</t>
  </si>
  <si>
    <t>QUEST DIAGNOSTICS INC</t>
  </si>
  <si>
    <t>ROK</t>
  </si>
  <si>
    <t>ROCKWELL AUTOMATION INC</t>
  </si>
  <si>
    <t>CMT</t>
  </si>
  <si>
    <t>CORE MOLDING TECHNOLOGIES INC</t>
  </si>
  <si>
    <t>TTWO</t>
  </si>
  <si>
    <t>TAKE TWO INTERACTIVE SOFTWR INC</t>
  </si>
  <si>
    <t>ARE</t>
  </si>
  <si>
    <t>ALEXANDRIA REAL EST EQUITIES INC</t>
  </si>
  <si>
    <t>APH</t>
  </si>
  <si>
    <t>AMPHENOL CORP NEW</t>
  </si>
  <si>
    <t>AMZN</t>
  </si>
  <si>
    <t>AMAZON COM INC</t>
  </si>
  <si>
    <t>BXP</t>
  </si>
  <si>
    <t>RL</t>
  </si>
  <si>
    <t>RALPH LAUREN CORP</t>
  </si>
  <si>
    <t>AME</t>
  </si>
  <si>
    <t>AMETEK INC NEW</t>
  </si>
  <si>
    <t>VLO</t>
  </si>
  <si>
    <t>VALERO ENERGY CORP NEW</t>
  </si>
  <si>
    <t>YUM</t>
  </si>
  <si>
    <t>YUM BRANDS INC</t>
  </si>
  <si>
    <t>CHRW</t>
  </si>
  <si>
    <t>CH ROBINSON WORLDWIDE INC</t>
  </si>
  <si>
    <t>PLD</t>
  </si>
  <si>
    <t>PROLOGIS INC</t>
  </si>
  <si>
    <t>MTD</t>
  </si>
  <si>
    <t>METTLER TOLEDO INTERNATIONAL INC</t>
  </si>
  <si>
    <t>ADSK</t>
  </si>
  <si>
    <t>AUTODESK INC</t>
  </si>
  <si>
    <t>URI</t>
  </si>
  <si>
    <t>UNITED RENTALS INC</t>
  </si>
  <si>
    <t>VRSN</t>
  </si>
  <si>
    <t>VERISIGN INC</t>
  </si>
  <si>
    <t>PWR</t>
  </si>
  <si>
    <t>QUANTA SERVICES INC</t>
  </si>
  <si>
    <t>MAR</t>
  </si>
  <si>
    <t>MARRIOTT INTERNATIONAL INC NEW</t>
  </si>
  <si>
    <t>BBY</t>
  </si>
  <si>
    <t>BEST BUY COMPANY INC</t>
  </si>
  <si>
    <t>AMT</t>
  </si>
  <si>
    <t>AMERICAN TOWER CORP NEW</t>
  </si>
  <si>
    <t>SRE</t>
  </si>
  <si>
    <t>SEMPRA ENERGY</t>
  </si>
  <si>
    <t>CTSH</t>
  </si>
  <si>
    <t>COGNIZANT TECHNOLOGY SOLS CORP</t>
  </si>
  <si>
    <t>RSG</t>
  </si>
  <si>
    <t>REPUBLIC SERVICES INC</t>
  </si>
  <si>
    <t>CSGP</t>
  </si>
  <si>
    <t>COSTAR GROUP INC</t>
  </si>
  <si>
    <t>CCI</t>
  </si>
  <si>
    <t>CROWN CASTLE INC</t>
  </si>
  <si>
    <t>EBAY</t>
  </si>
  <si>
    <t>EBAY INC</t>
  </si>
  <si>
    <t>NVDA</t>
  </si>
  <si>
    <t>NVIDIA CORP</t>
  </si>
  <si>
    <t>BKNG</t>
  </si>
  <si>
    <t>BOOKING HOLDINGS INC</t>
  </si>
  <si>
    <t>GS</t>
  </si>
  <si>
    <t>GOLDMAN SACHS GROUP INC</t>
  </si>
  <si>
    <t>FFIV</t>
  </si>
  <si>
    <t>F 5 INC</t>
  </si>
  <si>
    <t>JNPR</t>
  </si>
  <si>
    <t>JUNIPER NETWORKS INC</t>
  </si>
  <si>
    <t>SBAC</t>
  </si>
  <si>
    <t>S B A COMMUNICATIONS CORP NEW</t>
  </si>
  <si>
    <t>COST</t>
  </si>
  <si>
    <t>COSTCO WHOLESALE CORP NEW</t>
  </si>
  <si>
    <t>DVN</t>
  </si>
  <si>
    <t>DEVON ENERGY CORP NEW</t>
  </si>
  <si>
    <t>BLK</t>
  </si>
  <si>
    <t>AKAM</t>
  </si>
  <si>
    <t>AKAMAI TECHNOLOGIES INC</t>
  </si>
  <si>
    <t>A</t>
  </si>
  <si>
    <t>AGILENT TECHNOLOGIES INC</t>
  </si>
  <si>
    <t>TDY</t>
  </si>
  <si>
    <t>TELEDYNE TECHNOLOGIES</t>
  </si>
  <si>
    <t>UPS</t>
  </si>
  <si>
    <t>UNITED PARCEL SERVICE INC</t>
  </si>
  <si>
    <t>PKG</t>
  </si>
  <si>
    <t>PACKAGING CORP AMERICA</t>
  </si>
  <si>
    <t>EW</t>
  </si>
  <si>
    <t>EDWARDS LIFESCIENCES CORP</t>
  </si>
  <si>
    <t>EXPD</t>
  </si>
  <si>
    <t>EXPEDITORS INTERNATIONAL WA INC</t>
  </si>
  <si>
    <t>MET</t>
  </si>
  <si>
    <t>METLIFE INC</t>
  </si>
  <si>
    <t>MNST</t>
  </si>
  <si>
    <t>MONSTER BEVERAGE CORP NEW</t>
  </si>
  <si>
    <t>ON</t>
  </si>
  <si>
    <t>ON SEMICONDUCTOR CORP</t>
  </si>
  <si>
    <t>CRL</t>
  </si>
  <si>
    <t>CHARLES RIVER LABS INTL INC</t>
  </si>
  <si>
    <t>ISRG</t>
  </si>
  <si>
    <t>INTUITIVE SURGICAL INC</t>
  </si>
  <si>
    <t>SPYV</t>
  </si>
  <si>
    <t>SPDR SERIES TRUST</t>
  </si>
  <si>
    <t>TPR</t>
  </si>
  <si>
    <t>TAPESTRY INC</t>
  </si>
  <si>
    <t>JKHY</t>
  </si>
  <si>
    <t>HENRY JACK &amp; ASSOC INC</t>
  </si>
  <si>
    <t>GRMN</t>
  </si>
  <si>
    <t>GARMIN LTD</t>
  </si>
  <si>
    <t>ALGN</t>
  </si>
  <si>
    <t>ALIGN TECHNOLOGY INC</t>
  </si>
  <si>
    <t>GPN</t>
  </si>
  <si>
    <t>GLOBAL PAYMENTS INC</t>
  </si>
  <si>
    <t>FIS</t>
  </si>
  <si>
    <t>FIDELITY NATIONAL INFO SVCS INC</t>
  </si>
  <si>
    <t>MDLZ</t>
  </si>
  <si>
    <t>MONDELEZ INTERNATIONAL INC</t>
  </si>
  <si>
    <t>WTW</t>
  </si>
  <si>
    <t>WILLIS TOWERS WATSON PUB LTD CO</t>
  </si>
  <si>
    <t>AXON</t>
  </si>
  <si>
    <t>AXON ENTERPRISE INC</t>
  </si>
  <si>
    <t>ZBH</t>
  </si>
  <si>
    <t>ZIMMER BIOMET HOLDINGS INC</t>
  </si>
  <si>
    <t>ACN</t>
  </si>
  <si>
    <t>ACCENTURE PLC IRELAND</t>
  </si>
  <si>
    <t>BG</t>
  </si>
  <si>
    <t>BUNGE GLOBAL S A</t>
  </si>
  <si>
    <t>ELV</t>
  </si>
  <si>
    <t>ELEVANCE HEALTH INC</t>
  </si>
  <si>
    <t>PFG</t>
  </si>
  <si>
    <t>PRINCIPAL FINANCIAL GROUP INC</t>
  </si>
  <si>
    <t>WW</t>
  </si>
  <si>
    <t>W W INTERNATIONAL INC</t>
  </si>
  <si>
    <t>PRU</t>
  </si>
  <si>
    <t>PRUDENTIAL FINANCIAL INC</t>
  </si>
  <si>
    <t>CNC</t>
  </si>
  <si>
    <t>CENTENE CORP DEL</t>
  </si>
  <si>
    <t>NFLX</t>
  </si>
  <si>
    <t>NETFLIX INC</t>
  </si>
  <si>
    <t>KMX</t>
  </si>
  <si>
    <t>CARMAX INC</t>
  </si>
  <si>
    <t>CMCSA</t>
  </si>
  <si>
    <t>COMCAST CORP NEW</t>
  </si>
  <si>
    <t>WYNN</t>
  </si>
  <si>
    <t>WYNN RESORTS LTD</t>
  </si>
  <si>
    <t>EQIX</t>
  </si>
  <si>
    <t>EQUINIX INC</t>
  </si>
  <si>
    <t>CME</t>
  </si>
  <si>
    <t>C M E GROUP INC</t>
  </si>
  <si>
    <t>STX</t>
  </si>
  <si>
    <t>SEAGATE TECHNOLOGY HOLDINGS PLC</t>
  </si>
  <si>
    <t>MOH</t>
  </si>
  <si>
    <t>MOLINA HEALTHCARE INC</t>
  </si>
  <si>
    <t>LKQ</t>
  </si>
  <si>
    <t>L K Q CORP</t>
  </si>
  <si>
    <t>AIZ</t>
  </si>
  <si>
    <t>ASSURANT INC</t>
  </si>
  <si>
    <t>NRG</t>
  </si>
  <si>
    <t>N R G ENERGY INC</t>
  </si>
  <si>
    <t>CBRE</t>
  </si>
  <si>
    <t>C B R E GROUP INC</t>
  </si>
  <si>
    <t>CRM</t>
  </si>
  <si>
    <t>SALESFORCE INC</t>
  </si>
  <si>
    <t>DPZ</t>
  </si>
  <si>
    <t>DOMINOS PIZZA INC</t>
  </si>
  <si>
    <t>EXR</t>
  </si>
  <si>
    <t>EXTRA SPACE STORAGE INC</t>
  </si>
  <si>
    <t>GOOGL</t>
  </si>
  <si>
    <t>DLR</t>
  </si>
  <si>
    <t>DIGITAL REALTY TRUST INC</t>
  </si>
  <si>
    <t>MOS</t>
  </si>
  <si>
    <t>MOSAIC CO NEW</t>
  </si>
  <si>
    <t>MKTX</t>
  </si>
  <si>
    <t>MARKETAXESS HLDGS INC</t>
  </si>
  <si>
    <t>MPWR</t>
  </si>
  <si>
    <t>MONOLITHIC PWR SYS INC</t>
  </si>
  <si>
    <t>LVS</t>
  </si>
  <si>
    <t>LAS VEGAS SANDS CORP</t>
  </si>
  <si>
    <t>CE</t>
  </si>
  <si>
    <t>CELANESE CORP DEL</t>
  </si>
  <si>
    <t>NDAQ</t>
  </si>
  <si>
    <t>NASDAQ INC</t>
  </si>
  <si>
    <t>DXCM</t>
  </si>
  <si>
    <t>DEXCOM INC</t>
  </si>
  <si>
    <t>BLDR</t>
  </si>
  <si>
    <t>BUILDERS FIRSTSOURCE INC</t>
  </si>
  <si>
    <t>EXPE</t>
  </si>
  <si>
    <t>EXPEDIA GROUP INC</t>
  </si>
  <si>
    <t>CF</t>
  </si>
  <si>
    <t>C F INDUSTRIES HOLDINGS INC</t>
  </si>
  <si>
    <t>AMP</t>
  </si>
  <si>
    <t>AMERIPRISE FINANCIAL INC</t>
  </si>
  <si>
    <t>ICE</t>
  </si>
  <si>
    <t>INTERCONTINENTALEXCHANGE GRP INC</t>
  </si>
  <si>
    <t>LYV</t>
  </si>
  <si>
    <t>LIVE NATION ENTERTAINMENT INC</t>
  </si>
  <si>
    <t>CMG</t>
  </si>
  <si>
    <t>CHIPOTLE MEXICAN GRILL INC</t>
  </si>
  <si>
    <t>UAL</t>
  </si>
  <si>
    <t>UNITED AIRLINES HOLDINGS INC</t>
  </si>
  <si>
    <t>TDG</t>
  </si>
  <si>
    <t>TRANSDIGM GROUP INC</t>
  </si>
  <si>
    <t>MA</t>
  </si>
  <si>
    <t>MASTERCARD INC</t>
  </si>
  <si>
    <t>LDOS</t>
  </si>
  <si>
    <t>LEIDOS HOLDINGS INC</t>
  </si>
  <si>
    <t>ROST</t>
  </si>
  <si>
    <t>ROSS STORES INC</t>
  </si>
  <si>
    <t>FSLR</t>
  </si>
  <si>
    <t>FIRST SOLAR INC</t>
  </si>
  <si>
    <t>BR</t>
  </si>
  <si>
    <t>BROADRIDGE FINANCIAL SOLUTNS INC</t>
  </si>
  <si>
    <t>DAL</t>
  </si>
  <si>
    <t>DELTA AIR LINES INC</t>
  </si>
  <si>
    <t>TMUS</t>
  </si>
  <si>
    <t>T MOBILE U S INC</t>
  </si>
  <si>
    <t>PODD</t>
  </si>
  <si>
    <t>INSULET CORP</t>
  </si>
  <si>
    <t>BX</t>
  </si>
  <si>
    <t>BLACKSTONE INC</t>
  </si>
  <si>
    <t>DFS</t>
  </si>
  <si>
    <t>DISCOVER FINANCIAL SERVICES</t>
  </si>
  <si>
    <t>TEL</t>
  </si>
  <si>
    <t>LULU</t>
  </si>
  <si>
    <t>LULULEMON ATHLETICA INC</t>
  </si>
  <si>
    <t>ULTA</t>
  </si>
  <si>
    <t>ULTA BEAUTY INC</t>
  </si>
  <si>
    <t>MSCI</t>
  </si>
  <si>
    <t>M S C I INC</t>
  </si>
  <si>
    <t>PM</t>
  </si>
  <si>
    <t>PHILIP MORRIS INTERNATIONAL INC</t>
  </si>
  <si>
    <t>V</t>
  </si>
  <si>
    <t>VISA INC</t>
  </si>
  <si>
    <t>AWK</t>
  </si>
  <si>
    <t>AMERICAN WATER WORKS CO INC</t>
  </si>
  <si>
    <t>UNH</t>
  </si>
  <si>
    <t>UNITEDHEALTH GROUP INC</t>
  </si>
  <si>
    <t>AVGO</t>
  </si>
  <si>
    <t>BROADCOM INC</t>
  </si>
  <si>
    <t>VRSK</t>
  </si>
  <si>
    <t>VERISK ANALYTICS INC</t>
  </si>
  <si>
    <t>DG</t>
  </si>
  <si>
    <t>DOLLAR GENERAL CORP NEW</t>
  </si>
  <si>
    <t>FTNT</t>
  </si>
  <si>
    <t>FORTINET INC</t>
  </si>
  <si>
    <t>GNRC</t>
  </si>
  <si>
    <t>GENERAC HOLDINGS INC</t>
  </si>
  <si>
    <t>CBOE</t>
  </si>
  <si>
    <t>C B O E GLOBAL MARKETS INC</t>
  </si>
  <si>
    <t>TSLA</t>
  </si>
  <si>
    <t>TESLA INC</t>
  </si>
  <si>
    <t>Date</t>
  </si>
  <si>
    <t>Student Name</t>
  </si>
  <si>
    <t>Student Number</t>
  </si>
  <si>
    <t>Total portfolio value</t>
  </si>
  <si>
    <t>(hundred thousand dollars)</t>
  </si>
  <si>
    <t>Risk-free investment (1% per year)</t>
  </si>
  <si>
    <t>Number of shares held</t>
  </si>
  <si>
    <t>Weight in portfolio</t>
  </si>
  <si>
    <t>Holdings after week 1 (Part I)</t>
  </si>
  <si>
    <t>Holdings after week 2 (Part II)</t>
  </si>
  <si>
    <t>Holdings after week 3 (Part II)</t>
  </si>
  <si>
    <t>Holdings after week 4 (Part II)</t>
  </si>
  <si>
    <t>Holdings after week 5 (Part II)</t>
  </si>
  <si>
    <t>Holdings after week 6 (Part II)</t>
  </si>
  <si>
    <t>Risky investment</t>
  </si>
  <si>
    <t>Risk-free investment</t>
  </si>
  <si>
    <t>Total invested wealth</t>
  </si>
  <si>
    <t>Only for the risk-free investment (line 14) a fractional investment (so a non-integer number) is possible.</t>
  </si>
  <si>
    <t>KKR</t>
  </si>
  <si>
    <t>K K R &amp; CO INC</t>
  </si>
  <si>
    <t>LABCORP HOLDINGS INC</t>
  </si>
  <si>
    <t>CPAY</t>
  </si>
  <si>
    <t>CORPAY INC</t>
  </si>
  <si>
    <t>APO</t>
  </si>
  <si>
    <t>APOLLO GLOBAL MANAGEMENT INC NEW</t>
  </si>
  <si>
    <t>APTIV PLC NEW</t>
  </si>
  <si>
    <t>WDAY</t>
  </si>
  <si>
    <t>WORKDAY INC</t>
  </si>
  <si>
    <t>GDDY</t>
  </si>
  <si>
    <t>GODADDY INC</t>
  </si>
  <si>
    <t>VST</t>
  </si>
  <si>
    <t>VISTRA CORP</t>
  </si>
  <si>
    <t>DAY</t>
  </si>
  <si>
    <t>DAYFORCE INC</t>
  </si>
  <si>
    <t>DELL</t>
  </si>
  <si>
    <t>DELL TECHNOLOGIES INC</t>
  </si>
  <si>
    <t>CRWD</t>
  </si>
  <si>
    <t>CROWDSTRIKE HOLDINGS INC</t>
  </si>
  <si>
    <t>PLTR</t>
  </si>
  <si>
    <t>PALANTIR TECHNOLOGIES INC</t>
  </si>
  <si>
    <t>TPL</t>
  </si>
  <si>
    <t>TEXAS PACIFIC LAND CORP</t>
  </si>
  <si>
    <t>SOLV</t>
  </si>
  <si>
    <t>SOLVENTUM CORP</t>
  </si>
  <si>
    <t>GEV</t>
  </si>
  <si>
    <t>G E VERNOVA INC</t>
  </si>
  <si>
    <t>SW</t>
  </si>
  <si>
    <t>SMURFIT WESTROCK PLC</t>
  </si>
  <si>
    <t>CAMPBELLS CO</t>
  </si>
  <si>
    <t>WELL</t>
  </si>
  <si>
    <t>WELLTOWER INC</t>
  </si>
  <si>
    <t>HEALTHPEAK PROPERTIES INC</t>
  </si>
  <si>
    <t>DECK</t>
  </si>
  <si>
    <t>DECKERS OUTDOOR CORP</t>
  </si>
  <si>
    <t>ERIE</t>
  </si>
  <si>
    <t>ERIE INDEMNITY CO</t>
  </si>
  <si>
    <t>BXP INC</t>
  </si>
  <si>
    <t>BLACKROCK INC NEW</t>
  </si>
  <si>
    <t>SMCI</t>
  </si>
  <si>
    <t>SUPER MICRO COMPUTER INC</t>
  </si>
  <si>
    <t>T E CONNECTIVITY PLC</t>
  </si>
  <si>
    <t>Milan Peter</t>
  </si>
  <si>
    <t>Close price 29-12-2024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</si>
</sst>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9" fontId="2" fillId="0" borderId="0" xfId="1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lanpeter/Documents/University/Vrije%20Universiteit%20Amsterdam/Quantitative%20Investing/QI%20-%20Portfolio%20Selection/Week%206/week_6_results.xlsx" TargetMode="External"/><Relationship Id="rId1" Type="http://schemas.openxmlformats.org/officeDocument/2006/relationships/externalLinkPath" Target="Week%206/week_6_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Ticker</v>
          </cell>
          <cell r="C1" t="str">
            <v>Final Shares</v>
          </cell>
        </row>
        <row r="2">
          <cell r="B2" t="str">
            <v>A</v>
          </cell>
          <cell r="C2">
            <v>0</v>
          </cell>
        </row>
        <row r="3">
          <cell r="B3" t="str">
            <v>AAPL</v>
          </cell>
          <cell r="C3">
            <v>0</v>
          </cell>
        </row>
        <row r="4">
          <cell r="B4" t="str">
            <v>ABBV</v>
          </cell>
          <cell r="C4">
            <v>0</v>
          </cell>
        </row>
        <row r="5">
          <cell r="B5" t="str">
            <v>ABT</v>
          </cell>
          <cell r="C5">
            <v>1</v>
          </cell>
        </row>
        <row r="6">
          <cell r="B6" t="str">
            <v>ACGL</v>
          </cell>
          <cell r="C6">
            <v>0</v>
          </cell>
        </row>
        <row r="7">
          <cell r="B7" t="str">
            <v>ACN</v>
          </cell>
          <cell r="C7">
            <v>0</v>
          </cell>
        </row>
        <row r="8">
          <cell r="B8" t="str">
            <v>ADI</v>
          </cell>
          <cell r="C8">
            <v>0</v>
          </cell>
        </row>
        <row r="9">
          <cell r="B9" t="str">
            <v>ADM</v>
          </cell>
          <cell r="C9">
            <v>0</v>
          </cell>
        </row>
        <row r="10">
          <cell r="B10" t="str">
            <v>ADP</v>
          </cell>
          <cell r="C10">
            <v>0</v>
          </cell>
        </row>
        <row r="11">
          <cell r="B11" t="str">
            <v>ADSK</v>
          </cell>
          <cell r="C11">
            <v>0</v>
          </cell>
        </row>
        <row r="12">
          <cell r="B12" t="str">
            <v>AEE</v>
          </cell>
          <cell r="C12">
            <v>0</v>
          </cell>
        </row>
        <row r="13">
          <cell r="B13" t="str">
            <v>AEP</v>
          </cell>
          <cell r="C13">
            <v>1</v>
          </cell>
        </row>
        <row r="14">
          <cell r="B14" t="str">
            <v>AES</v>
          </cell>
          <cell r="C14">
            <v>3</v>
          </cell>
        </row>
        <row r="15">
          <cell r="B15" t="str">
            <v>AFL</v>
          </cell>
          <cell r="C15">
            <v>0</v>
          </cell>
        </row>
        <row r="16">
          <cell r="B16" t="str">
            <v>AIG</v>
          </cell>
          <cell r="C16">
            <v>0</v>
          </cell>
        </row>
        <row r="17">
          <cell r="B17" t="str">
            <v>AIZ</v>
          </cell>
          <cell r="C17">
            <v>0</v>
          </cell>
        </row>
        <row r="18">
          <cell r="B18" t="str">
            <v>AJG</v>
          </cell>
          <cell r="C18">
            <v>0</v>
          </cell>
        </row>
        <row r="19">
          <cell r="B19" t="str">
            <v>AKAM</v>
          </cell>
          <cell r="C19">
            <v>0</v>
          </cell>
        </row>
        <row r="20">
          <cell r="B20" t="str">
            <v>ALB</v>
          </cell>
          <cell r="C20">
            <v>0</v>
          </cell>
        </row>
        <row r="21">
          <cell r="B21" t="str">
            <v>ALGN</v>
          </cell>
          <cell r="C21">
            <v>0</v>
          </cell>
        </row>
        <row r="22">
          <cell r="B22" t="str">
            <v>ALL</v>
          </cell>
          <cell r="C22">
            <v>0</v>
          </cell>
        </row>
        <row r="23">
          <cell r="B23" t="str">
            <v>ALLE</v>
          </cell>
          <cell r="C23">
            <v>0</v>
          </cell>
        </row>
        <row r="24">
          <cell r="B24" t="str">
            <v>AMAT</v>
          </cell>
          <cell r="C24">
            <v>0</v>
          </cell>
        </row>
        <row r="25">
          <cell r="B25" t="str">
            <v>AMCR</v>
          </cell>
          <cell r="C25">
            <v>0</v>
          </cell>
        </row>
        <row r="26">
          <cell r="B26" t="str">
            <v>AMD</v>
          </cell>
          <cell r="C26">
            <v>0</v>
          </cell>
        </row>
        <row r="27">
          <cell r="B27" t="str">
            <v>AME</v>
          </cell>
          <cell r="C27">
            <v>0</v>
          </cell>
        </row>
        <row r="28">
          <cell r="B28" t="str">
            <v>AMGN</v>
          </cell>
          <cell r="C28">
            <v>0</v>
          </cell>
        </row>
        <row r="29">
          <cell r="B29" t="str">
            <v>AMP</v>
          </cell>
          <cell r="C29">
            <v>0</v>
          </cell>
        </row>
        <row r="30">
          <cell r="B30" t="str">
            <v>AMT</v>
          </cell>
          <cell r="C30">
            <v>0</v>
          </cell>
        </row>
        <row r="31">
          <cell r="B31" t="str">
            <v>AMZN</v>
          </cell>
          <cell r="C31">
            <v>0</v>
          </cell>
        </row>
        <row r="32">
          <cell r="B32" t="str">
            <v>ANET</v>
          </cell>
          <cell r="C32">
            <v>0</v>
          </cell>
        </row>
        <row r="33">
          <cell r="B33" t="str">
            <v>ANSS</v>
          </cell>
          <cell r="C33">
            <v>0</v>
          </cell>
        </row>
        <row r="34">
          <cell r="B34" t="str">
            <v>AON</v>
          </cell>
          <cell r="C34">
            <v>0</v>
          </cell>
        </row>
        <row r="35">
          <cell r="B35" t="str">
            <v>AOS</v>
          </cell>
          <cell r="C35">
            <v>0</v>
          </cell>
        </row>
        <row r="36">
          <cell r="B36" t="str">
            <v>APA</v>
          </cell>
          <cell r="C36">
            <v>0</v>
          </cell>
        </row>
        <row r="37">
          <cell r="B37" t="str">
            <v>APD</v>
          </cell>
          <cell r="C37">
            <v>0</v>
          </cell>
        </row>
        <row r="38">
          <cell r="B38" t="str">
            <v>APH</v>
          </cell>
          <cell r="C38">
            <v>0</v>
          </cell>
        </row>
        <row r="39">
          <cell r="B39" t="str">
            <v>APO</v>
          </cell>
          <cell r="C39">
            <v>0</v>
          </cell>
        </row>
        <row r="40">
          <cell r="B40" t="str">
            <v>APTV</v>
          </cell>
          <cell r="C40">
            <v>0</v>
          </cell>
        </row>
        <row r="41">
          <cell r="B41" t="str">
            <v>ARE</v>
          </cell>
          <cell r="C41">
            <v>0</v>
          </cell>
        </row>
        <row r="42">
          <cell r="B42" t="str">
            <v>ATI</v>
          </cell>
          <cell r="C42">
            <v>0</v>
          </cell>
        </row>
        <row r="43">
          <cell r="B43" t="str">
            <v>ATO</v>
          </cell>
          <cell r="C43">
            <v>0</v>
          </cell>
        </row>
        <row r="44">
          <cell r="B44" t="str">
            <v>AVB</v>
          </cell>
          <cell r="C44">
            <v>0</v>
          </cell>
        </row>
        <row r="45">
          <cell r="B45" t="str">
            <v>AVGO</v>
          </cell>
          <cell r="C45">
            <v>0</v>
          </cell>
        </row>
        <row r="46">
          <cell r="B46" t="str">
            <v>AVY</v>
          </cell>
          <cell r="C46">
            <v>0</v>
          </cell>
        </row>
        <row r="47">
          <cell r="B47" t="str">
            <v>AWK</v>
          </cell>
          <cell r="C47">
            <v>0</v>
          </cell>
        </row>
        <row r="48">
          <cell r="B48" t="str">
            <v>AXP</v>
          </cell>
          <cell r="C48">
            <v>0</v>
          </cell>
        </row>
        <row r="49">
          <cell r="B49" t="str">
            <v>AZO</v>
          </cell>
          <cell r="C49">
            <v>0</v>
          </cell>
        </row>
        <row r="50">
          <cell r="B50" t="str">
            <v>BA</v>
          </cell>
          <cell r="C50">
            <v>0</v>
          </cell>
        </row>
        <row r="51">
          <cell r="B51" t="str">
            <v>BAC</v>
          </cell>
          <cell r="C51">
            <v>0</v>
          </cell>
        </row>
        <row r="52">
          <cell r="B52" t="str">
            <v>BAX</v>
          </cell>
          <cell r="C52">
            <v>1</v>
          </cell>
        </row>
        <row r="53">
          <cell r="B53" t="str">
            <v>BBY</v>
          </cell>
          <cell r="C53">
            <v>0</v>
          </cell>
        </row>
        <row r="54">
          <cell r="B54" t="str">
            <v>BDX</v>
          </cell>
          <cell r="C54">
            <v>0</v>
          </cell>
        </row>
        <row r="55">
          <cell r="B55" t="str">
            <v>BEN</v>
          </cell>
          <cell r="C55">
            <v>0</v>
          </cell>
        </row>
        <row r="56">
          <cell r="B56" t="str">
            <v>BG</v>
          </cell>
          <cell r="C56">
            <v>0</v>
          </cell>
        </row>
        <row r="57">
          <cell r="B57" t="str">
            <v>BH</v>
          </cell>
          <cell r="C57">
            <v>0</v>
          </cell>
        </row>
        <row r="58">
          <cell r="B58" t="str">
            <v>BIIB</v>
          </cell>
          <cell r="C58">
            <v>0</v>
          </cell>
        </row>
        <row r="59">
          <cell r="B59" t="str">
            <v>BK</v>
          </cell>
          <cell r="C59">
            <v>0</v>
          </cell>
        </row>
        <row r="60">
          <cell r="B60" t="str">
            <v>BKNG</v>
          </cell>
          <cell r="C60">
            <v>0</v>
          </cell>
        </row>
        <row r="61">
          <cell r="B61" t="str">
            <v>BKR</v>
          </cell>
          <cell r="C61">
            <v>0</v>
          </cell>
        </row>
        <row r="62">
          <cell r="B62" t="str">
            <v>BLDR</v>
          </cell>
          <cell r="C62">
            <v>0</v>
          </cell>
        </row>
        <row r="63">
          <cell r="B63" t="str">
            <v>BLK</v>
          </cell>
          <cell r="C63">
            <v>0</v>
          </cell>
        </row>
        <row r="64">
          <cell r="B64" t="str">
            <v>BMY</v>
          </cell>
          <cell r="C64">
            <v>1</v>
          </cell>
        </row>
        <row r="65">
          <cell r="B65" t="str">
            <v>BR</v>
          </cell>
          <cell r="C65">
            <v>0</v>
          </cell>
        </row>
        <row r="66">
          <cell r="B66" t="str">
            <v>BRO</v>
          </cell>
          <cell r="C66">
            <v>0</v>
          </cell>
        </row>
        <row r="67">
          <cell r="B67" t="str">
            <v>BSX</v>
          </cell>
          <cell r="C67">
            <v>0</v>
          </cell>
        </row>
        <row r="68">
          <cell r="B68" t="str">
            <v>BWA</v>
          </cell>
          <cell r="C68">
            <v>0</v>
          </cell>
        </row>
        <row r="69">
          <cell r="B69" t="str">
            <v>BX</v>
          </cell>
          <cell r="C69">
            <v>0</v>
          </cell>
        </row>
        <row r="70">
          <cell r="B70" t="str">
            <v>BXP</v>
          </cell>
          <cell r="C70">
            <v>0</v>
          </cell>
        </row>
        <row r="71">
          <cell r="B71" t="str">
            <v>C</v>
          </cell>
          <cell r="C71">
            <v>0</v>
          </cell>
        </row>
        <row r="72">
          <cell r="B72" t="str">
            <v>CAG</v>
          </cell>
          <cell r="C72">
            <v>0</v>
          </cell>
        </row>
        <row r="73">
          <cell r="B73" t="str">
            <v>CAH</v>
          </cell>
          <cell r="C73">
            <v>0</v>
          </cell>
        </row>
        <row r="74">
          <cell r="B74" t="str">
            <v>CAL</v>
          </cell>
          <cell r="C74">
            <v>0</v>
          </cell>
        </row>
        <row r="75">
          <cell r="B75" t="str">
            <v>CAT</v>
          </cell>
          <cell r="C75">
            <v>0</v>
          </cell>
        </row>
        <row r="76">
          <cell r="B76" t="str">
            <v>CB</v>
          </cell>
          <cell r="C76">
            <v>0</v>
          </cell>
        </row>
        <row r="77">
          <cell r="B77" t="str">
            <v>CBOE</v>
          </cell>
          <cell r="C77">
            <v>0</v>
          </cell>
        </row>
        <row r="78">
          <cell r="B78" t="str">
            <v>CBRE</v>
          </cell>
          <cell r="C78">
            <v>0</v>
          </cell>
        </row>
        <row r="79">
          <cell r="B79" t="str">
            <v>CCI</v>
          </cell>
          <cell r="C79">
            <v>0</v>
          </cell>
        </row>
        <row r="80">
          <cell r="B80" t="str">
            <v>CCL</v>
          </cell>
          <cell r="C80">
            <v>1</v>
          </cell>
        </row>
        <row r="81">
          <cell r="B81" t="str">
            <v>CDNS</v>
          </cell>
          <cell r="C81">
            <v>0</v>
          </cell>
        </row>
        <row r="82">
          <cell r="B82" t="str">
            <v>CDW</v>
          </cell>
          <cell r="C82">
            <v>0</v>
          </cell>
        </row>
        <row r="83">
          <cell r="B83" t="str">
            <v>CE</v>
          </cell>
          <cell r="C83">
            <v>0</v>
          </cell>
        </row>
        <row r="84">
          <cell r="B84" t="str">
            <v>CF</v>
          </cell>
          <cell r="C84">
            <v>0</v>
          </cell>
        </row>
        <row r="85">
          <cell r="B85" t="str">
            <v>CFG</v>
          </cell>
          <cell r="C85">
            <v>0</v>
          </cell>
        </row>
        <row r="86">
          <cell r="B86" t="str">
            <v>CHD</v>
          </cell>
          <cell r="C86">
            <v>0</v>
          </cell>
        </row>
        <row r="87">
          <cell r="B87" t="str">
            <v>CHRW</v>
          </cell>
          <cell r="C87">
            <v>0</v>
          </cell>
        </row>
        <row r="88">
          <cell r="B88" t="str">
            <v>CHTR</v>
          </cell>
          <cell r="C88">
            <v>0</v>
          </cell>
        </row>
        <row r="89">
          <cell r="B89" t="str">
            <v>CI</v>
          </cell>
          <cell r="C89">
            <v>0</v>
          </cell>
        </row>
        <row r="90">
          <cell r="B90" t="str">
            <v>CINF</v>
          </cell>
          <cell r="C90">
            <v>0</v>
          </cell>
        </row>
        <row r="91">
          <cell r="B91" t="str">
            <v>CL</v>
          </cell>
          <cell r="C91">
            <v>1</v>
          </cell>
        </row>
        <row r="92">
          <cell r="B92" t="str">
            <v>CLX</v>
          </cell>
          <cell r="C92">
            <v>0</v>
          </cell>
        </row>
        <row r="93">
          <cell r="B93" t="str">
            <v>CMCSA</v>
          </cell>
          <cell r="C93">
            <v>1</v>
          </cell>
        </row>
        <row r="94">
          <cell r="B94" t="str">
            <v>CME</v>
          </cell>
          <cell r="C94">
            <v>0</v>
          </cell>
        </row>
        <row r="95">
          <cell r="B95" t="str">
            <v>CMG</v>
          </cell>
          <cell r="C95">
            <v>0</v>
          </cell>
        </row>
        <row r="96">
          <cell r="B96" t="str">
            <v>CMI</v>
          </cell>
          <cell r="C96">
            <v>0</v>
          </cell>
        </row>
        <row r="97">
          <cell r="B97" t="str">
            <v>CMS</v>
          </cell>
          <cell r="C97">
            <v>0</v>
          </cell>
        </row>
        <row r="98">
          <cell r="B98" t="str">
            <v>CMT</v>
          </cell>
          <cell r="C98">
            <v>0</v>
          </cell>
        </row>
        <row r="99">
          <cell r="B99" t="str">
            <v>CNC</v>
          </cell>
          <cell r="C99">
            <v>0</v>
          </cell>
        </row>
        <row r="100">
          <cell r="B100" t="str">
            <v>CNP</v>
          </cell>
          <cell r="C100">
            <v>0</v>
          </cell>
        </row>
        <row r="101">
          <cell r="B101" t="str">
            <v>COF</v>
          </cell>
          <cell r="C101">
            <v>0</v>
          </cell>
        </row>
        <row r="102">
          <cell r="B102" t="str">
            <v>COO</v>
          </cell>
          <cell r="C102">
            <v>0</v>
          </cell>
        </row>
        <row r="103">
          <cell r="B103" t="str">
            <v>COOP</v>
          </cell>
          <cell r="C103">
            <v>0</v>
          </cell>
        </row>
        <row r="104">
          <cell r="B104" t="str">
            <v>COP</v>
          </cell>
          <cell r="C104">
            <v>0</v>
          </cell>
        </row>
        <row r="105">
          <cell r="B105" t="str">
            <v>COST</v>
          </cell>
          <cell r="C105">
            <v>0</v>
          </cell>
        </row>
        <row r="106">
          <cell r="B106" t="str">
            <v>CPB</v>
          </cell>
          <cell r="C106">
            <v>0</v>
          </cell>
        </row>
        <row r="107">
          <cell r="B107" t="str">
            <v>CPRT</v>
          </cell>
          <cell r="C107">
            <v>0</v>
          </cell>
        </row>
        <row r="108">
          <cell r="B108" t="str">
            <v>CPT</v>
          </cell>
          <cell r="C108">
            <v>0</v>
          </cell>
        </row>
        <row r="109">
          <cell r="B109" t="str">
            <v>CRL</v>
          </cell>
          <cell r="C109">
            <v>0</v>
          </cell>
        </row>
        <row r="110">
          <cell r="B110" t="str">
            <v>CRM</v>
          </cell>
          <cell r="C110">
            <v>0</v>
          </cell>
        </row>
        <row r="111">
          <cell r="B111" t="str">
            <v>CRWD</v>
          </cell>
          <cell r="C111">
            <v>0</v>
          </cell>
        </row>
        <row r="112">
          <cell r="B112" t="str">
            <v>CSCO</v>
          </cell>
          <cell r="C112">
            <v>0</v>
          </cell>
        </row>
        <row r="113">
          <cell r="B113" t="str">
            <v>CSGP</v>
          </cell>
          <cell r="C113">
            <v>0</v>
          </cell>
        </row>
        <row r="114">
          <cell r="B114" t="str">
            <v>CSX</v>
          </cell>
          <cell r="C114">
            <v>0</v>
          </cell>
        </row>
        <row r="115">
          <cell r="B115" t="str">
            <v>CTAS</v>
          </cell>
          <cell r="C115">
            <v>0</v>
          </cell>
        </row>
        <row r="116">
          <cell r="B116" t="str">
            <v>CTSH</v>
          </cell>
          <cell r="C116">
            <v>0</v>
          </cell>
        </row>
        <row r="117">
          <cell r="B117" t="str">
            <v>CTVA</v>
          </cell>
          <cell r="C117">
            <v>0</v>
          </cell>
        </row>
        <row r="118">
          <cell r="B118" t="str">
            <v>CVS</v>
          </cell>
          <cell r="C118">
            <v>0</v>
          </cell>
        </row>
        <row r="119">
          <cell r="B119" t="str">
            <v>CVX</v>
          </cell>
          <cell r="C119">
            <v>0</v>
          </cell>
        </row>
        <row r="120">
          <cell r="B120" t="str">
            <v>CZR</v>
          </cell>
          <cell r="C120">
            <v>0</v>
          </cell>
        </row>
        <row r="121">
          <cell r="B121" t="str">
            <v>D</v>
          </cell>
          <cell r="C121">
            <v>0</v>
          </cell>
        </row>
        <row r="122">
          <cell r="B122" t="str">
            <v>DAL</v>
          </cell>
          <cell r="C122">
            <v>0</v>
          </cell>
        </row>
        <row r="123">
          <cell r="B123" t="str">
            <v>DD</v>
          </cell>
          <cell r="C123">
            <v>0</v>
          </cell>
        </row>
        <row r="124">
          <cell r="B124" t="str">
            <v>DE</v>
          </cell>
          <cell r="C124">
            <v>0</v>
          </cell>
        </row>
        <row r="125">
          <cell r="B125" t="str">
            <v>DECK</v>
          </cell>
          <cell r="C125">
            <v>0</v>
          </cell>
        </row>
        <row r="126">
          <cell r="B126" t="str">
            <v>DELL</v>
          </cell>
          <cell r="C126">
            <v>0</v>
          </cell>
        </row>
        <row r="127">
          <cell r="B127" t="str">
            <v>DFS</v>
          </cell>
          <cell r="C127">
            <v>0</v>
          </cell>
        </row>
        <row r="128">
          <cell r="B128" t="str">
            <v>DG</v>
          </cell>
          <cell r="C128">
            <v>0</v>
          </cell>
        </row>
        <row r="129">
          <cell r="B129" t="str">
            <v>DGX</v>
          </cell>
          <cell r="C129">
            <v>0</v>
          </cell>
        </row>
        <row r="130">
          <cell r="B130" t="str">
            <v>DHI</v>
          </cell>
          <cell r="C130">
            <v>0</v>
          </cell>
        </row>
        <row r="131">
          <cell r="B131" t="str">
            <v>DHR</v>
          </cell>
          <cell r="C131">
            <v>0</v>
          </cell>
        </row>
        <row r="132">
          <cell r="B132" t="str">
            <v>DIS</v>
          </cell>
          <cell r="C132">
            <v>0</v>
          </cell>
        </row>
        <row r="133">
          <cell r="B133" t="str">
            <v>DLR</v>
          </cell>
          <cell r="C133">
            <v>0</v>
          </cell>
        </row>
        <row r="134">
          <cell r="B134" t="str">
            <v>DLTR</v>
          </cell>
          <cell r="C134">
            <v>0</v>
          </cell>
        </row>
        <row r="135">
          <cell r="B135" t="str">
            <v>DOC</v>
          </cell>
          <cell r="C135">
            <v>1</v>
          </cell>
        </row>
        <row r="136">
          <cell r="B136" t="str">
            <v>DOV</v>
          </cell>
          <cell r="C136">
            <v>0</v>
          </cell>
        </row>
        <row r="137">
          <cell r="B137" t="str">
            <v>DOW</v>
          </cell>
          <cell r="C137">
            <v>0</v>
          </cell>
        </row>
        <row r="138">
          <cell r="B138" t="str">
            <v>DPZ</v>
          </cell>
          <cell r="C138">
            <v>0</v>
          </cell>
        </row>
        <row r="139">
          <cell r="B139" t="str">
            <v>DRI</v>
          </cell>
          <cell r="C139">
            <v>0</v>
          </cell>
        </row>
        <row r="140">
          <cell r="B140" t="str">
            <v>DTE</v>
          </cell>
          <cell r="C140">
            <v>0</v>
          </cell>
        </row>
        <row r="141">
          <cell r="B141" t="str">
            <v>DUK</v>
          </cell>
          <cell r="C141">
            <v>0</v>
          </cell>
        </row>
        <row r="142">
          <cell r="B142" t="str">
            <v>DVA</v>
          </cell>
          <cell r="C142">
            <v>0</v>
          </cell>
        </row>
        <row r="143">
          <cell r="B143" t="str">
            <v>DVN</v>
          </cell>
          <cell r="C143">
            <v>0</v>
          </cell>
        </row>
        <row r="144">
          <cell r="B144" t="str">
            <v>DXCM</v>
          </cell>
          <cell r="C144">
            <v>0</v>
          </cell>
        </row>
        <row r="145">
          <cell r="B145" t="str">
            <v>EA</v>
          </cell>
          <cell r="C145">
            <v>0</v>
          </cell>
        </row>
        <row r="146">
          <cell r="B146" t="str">
            <v>EBAY</v>
          </cell>
          <cell r="C146">
            <v>0</v>
          </cell>
        </row>
        <row r="147">
          <cell r="B147" t="str">
            <v>ECL</v>
          </cell>
          <cell r="C147">
            <v>0</v>
          </cell>
        </row>
        <row r="148">
          <cell r="B148" t="str">
            <v>ED</v>
          </cell>
          <cell r="C148">
            <v>0</v>
          </cell>
        </row>
        <row r="149">
          <cell r="B149" t="str">
            <v>EFX</v>
          </cell>
          <cell r="C149">
            <v>0</v>
          </cell>
        </row>
        <row r="150">
          <cell r="B150" t="str">
            <v>EIX</v>
          </cell>
          <cell r="C150">
            <v>0</v>
          </cell>
        </row>
        <row r="151">
          <cell r="B151" t="str">
            <v>EL</v>
          </cell>
          <cell r="C151">
            <v>0</v>
          </cell>
        </row>
        <row r="152">
          <cell r="B152" t="str">
            <v>EMN</v>
          </cell>
          <cell r="C152">
            <v>0</v>
          </cell>
        </row>
        <row r="153">
          <cell r="B153" t="str">
            <v>EMR</v>
          </cell>
          <cell r="C153">
            <v>0</v>
          </cell>
        </row>
        <row r="154">
          <cell r="B154" t="str">
            <v>ENPH</v>
          </cell>
          <cell r="C154">
            <v>0</v>
          </cell>
        </row>
        <row r="155">
          <cell r="B155" t="str">
            <v>EOG</v>
          </cell>
          <cell r="C155">
            <v>0</v>
          </cell>
        </row>
        <row r="156">
          <cell r="B156" t="str">
            <v>EPAM</v>
          </cell>
          <cell r="C156">
            <v>0</v>
          </cell>
        </row>
        <row r="157">
          <cell r="B157" t="str">
            <v>EQIX</v>
          </cell>
          <cell r="C157">
            <v>0</v>
          </cell>
        </row>
        <row r="158">
          <cell r="B158" t="str">
            <v>EQR</v>
          </cell>
          <cell r="C158">
            <v>0</v>
          </cell>
        </row>
        <row r="159">
          <cell r="B159" t="str">
            <v>EQT</v>
          </cell>
          <cell r="C159">
            <v>0</v>
          </cell>
        </row>
        <row r="160">
          <cell r="B160" t="str">
            <v>ERIE</v>
          </cell>
          <cell r="C160">
            <v>0</v>
          </cell>
        </row>
        <row r="161">
          <cell r="B161" t="str">
            <v>ES</v>
          </cell>
          <cell r="C161">
            <v>0</v>
          </cell>
        </row>
        <row r="162">
          <cell r="B162" t="str">
            <v>ESS</v>
          </cell>
          <cell r="C162">
            <v>0</v>
          </cell>
        </row>
        <row r="163">
          <cell r="B163" t="str">
            <v>ETN</v>
          </cell>
          <cell r="C163">
            <v>0</v>
          </cell>
        </row>
        <row r="164">
          <cell r="B164" t="str">
            <v>ETR</v>
          </cell>
          <cell r="C164">
            <v>0</v>
          </cell>
        </row>
        <row r="165">
          <cell r="B165" t="str">
            <v>EVRG</v>
          </cell>
          <cell r="C165">
            <v>0</v>
          </cell>
        </row>
        <row r="166">
          <cell r="B166" t="str">
            <v>EW</v>
          </cell>
          <cell r="C166">
            <v>0</v>
          </cell>
        </row>
        <row r="167">
          <cell r="B167" t="str">
            <v>EXC</v>
          </cell>
          <cell r="C167">
            <v>0</v>
          </cell>
        </row>
        <row r="168">
          <cell r="B168" t="str">
            <v>EXPD</v>
          </cell>
          <cell r="C168">
            <v>0</v>
          </cell>
        </row>
        <row r="169">
          <cell r="B169" t="str">
            <v>EXPE</v>
          </cell>
          <cell r="C169">
            <v>0</v>
          </cell>
        </row>
        <row r="170">
          <cell r="B170" t="str">
            <v>EXR</v>
          </cell>
          <cell r="C170">
            <v>0</v>
          </cell>
        </row>
        <row r="171">
          <cell r="B171" t="str">
            <v>F</v>
          </cell>
          <cell r="C171">
            <v>0</v>
          </cell>
        </row>
        <row r="172">
          <cell r="B172" t="str">
            <v>FANG</v>
          </cell>
          <cell r="C172">
            <v>0</v>
          </cell>
        </row>
        <row r="173">
          <cell r="B173" t="str">
            <v>FAST</v>
          </cell>
          <cell r="C173">
            <v>0</v>
          </cell>
        </row>
        <row r="174">
          <cell r="B174" t="str">
            <v>FCX</v>
          </cell>
          <cell r="C174">
            <v>0</v>
          </cell>
        </row>
        <row r="175">
          <cell r="B175" t="str">
            <v>FDS</v>
          </cell>
          <cell r="C175">
            <v>0</v>
          </cell>
        </row>
        <row r="176">
          <cell r="B176" t="str">
            <v>FDX</v>
          </cell>
          <cell r="C176">
            <v>0</v>
          </cell>
        </row>
        <row r="177">
          <cell r="B177" t="str">
            <v>FE</v>
          </cell>
          <cell r="C177">
            <v>0</v>
          </cell>
        </row>
        <row r="178">
          <cell r="B178" t="str">
            <v>FFIV</v>
          </cell>
          <cell r="C178">
            <v>0</v>
          </cell>
        </row>
        <row r="179">
          <cell r="B179" t="str">
            <v>FICO</v>
          </cell>
          <cell r="C179">
            <v>0</v>
          </cell>
        </row>
        <row r="180">
          <cell r="B180" t="str">
            <v>FIS</v>
          </cell>
          <cell r="C180">
            <v>0</v>
          </cell>
        </row>
        <row r="181">
          <cell r="B181" t="str">
            <v>FITB</v>
          </cell>
          <cell r="C181">
            <v>0</v>
          </cell>
        </row>
        <row r="182">
          <cell r="B182" t="str">
            <v>FMC</v>
          </cell>
          <cell r="C182">
            <v>0</v>
          </cell>
        </row>
        <row r="183">
          <cell r="B183" t="str">
            <v>FOX</v>
          </cell>
          <cell r="C183">
            <v>0</v>
          </cell>
        </row>
        <row r="184">
          <cell r="B184" t="str">
            <v>FOXA</v>
          </cell>
          <cell r="C184">
            <v>0</v>
          </cell>
        </row>
        <row r="185">
          <cell r="B185" t="str">
            <v>FRT</v>
          </cell>
          <cell r="C185">
            <v>0</v>
          </cell>
        </row>
        <row r="186">
          <cell r="B186" t="str">
            <v>FSLR</v>
          </cell>
          <cell r="C186">
            <v>0</v>
          </cell>
        </row>
        <row r="187">
          <cell r="B187" t="str">
            <v>FTNT</v>
          </cell>
          <cell r="C187">
            <v>0</v>
          </cell>
        </row>
        <row r="188">
          <cell r="B188" t="str">
            <v>FTV</v>
          </cell>
          <cell r="C188">
            <v>0</v>
          </cell>
        </row>
        <row r="189">
          <cell r="B189" t="str">
            <v>GD</v>
          </cell>
          <cell r="C189">
            <v>0</v>
          </cell>
        </row>
        <row r="190">
          <cell r="B190" t="str">
            <v>GDDY</v>
          </cell>
          <cell r="C190">
            <v>0</v>
          </cell>
        </row>
        <row r="191">
          <cell r="B191" t="str">
            <v>GE</v>
          </cell>
          <cell r="C191">
            <v>0</v>
          </cell>
        </row>
        <row r="192">
          <cell r="B192" t="str">
            <v>GILD</v>
          </cell>
          <cell r="C192">
            <v>0</v>
          </cell>
        </row>
        <row r="193">
          <cell r="B193" t="str">
            <v>GIS</v>
          </cell>
          <cell r="C193">
            <v>1</v>
          </cell>
        </row>
        <row r="194">
          <cell r="B194" t="str">
            <v>GL</v>
          </cell>
          <cell r="C194">
            <v>0</v>
          </cell>
        </row>
        <row r="195">
          <cell r="B195" t="str">
            <v>GLW</v>
          </cell>
          <cell r="C195">
            <v>1</v>
          </cell>
        </row>
        <row r="196">
          <cell r="B196" t="str">
            <v>GM</v>
          </cell>
          <cell r="C196">
            <v>0</v>
          </cell>
        </row>
        <row r="197">
          <cell r="B197" t="str">
            <v>GNRC</v>
          </cell>
          <cell r="C197">
            <v>0</v>
          </cell>
        </row>
        <row r="198">
          <cell r="B198" t="str">
            <v>GOOG</v>
          </cell>
          <cell r="C198">
            <v>0</v>
          </cell>
        </row>
        <row r="199">
          <cell r="B199" t="str">
            <v>GOOGL</v>
          </cell>
          <cell r="C199">
            <v>0</v>
          </cell>
        </row>
        <row r="200">
          <cell r="B200" t="str">
            <v>GPC</v>
          </cell>
          <cell r="C200">
            <v>0</v>
          </cell>
        </row>
        <row r="201">
          <cell r="B201" t="str">
            <v>GPN</v>
          </cell>
          <cell r="C201">
            <v>0</v>
          </cell>
        </row>
        <row r="202">
          <cell r="B202" t="str">
            <v>GRMN</v>
          </cell>
          <cell r="C202">
            <v>0</v>
          </cell>
        </row>
        <row r="203">
          <cell r="B203" t="str">
            <v>GS</v>
          </cell>
          <cell r="C203">
            <v>0</v>
          </cell>
        </row>
        <row r="204">
          <cell r="B204" t="str">
            <v>GWW</v>
          </cell>
          <cell r="C204">
            <v>0</v>
          </cell>
        </row>
        <row r="205">
          <cell r="B205" t="str">
            <v>HAL</v>
          </cell>
          <cell r="C205">
            <v>0</v>
          </cell>
        </row>
        <row r="206">
          <cell r="B206" t="str">
            <v>HAS</v>
          </cell>
          <cell r="C206">
            <v>0</v>
          </cell>
        </row>
        <row r="207">
          <cell r="B207" t="str">
            <v>HBAN</v>
          </cell>
          <cell r="C207">
            <v>0</v>
          </cell>
        </row>
        <row r="208">
          <cell r="B208" t="str">
            <v>HCA</v>
          </cell>
          <cell r="C208">
            <v>0</v>
          </cell>
        </row>
        <row r="209">
          <cell r="B209" t="str">
            <v>HD</v>
          </cell>
          <cell r="C209">
            <v>0</v>
          </cell>
        </row>
        <row r="210">
          <cell r="B210" t="str">
            <v>HES</v>
          </cell>
          <cell r="C210">
            <v>0</v>
          </cell>
        </row>
        <row r="211">
          <cell r="B211" t="str">
            <v>HIG</v>
          </cell>
          <cell r="C211">
            <v>0</v>
          </cell>
        </row>
        <row r="212">
          <cell r="B212" t="str">
            <v>HII</v>
          </cell>
          <cell r="C212">
            <v>0</v>
          </cell>
        </row>
        <row r="213">
          <cell r="B213" t="str">
            <v>HLT</v>
          </cell>
          <cell r="C213">
            <v>0</v>
          </cell>
        </row>
        <row r="214">
          <cell r="B214" t="str">
            <v>HOLX</v>
          </cell>
          <cell r="C214">
            <v>0</v>
          </cell>
        </row>
        <row r="215">
          <cell r="B215" t="str">
            <v>HON</v>
          </cell>
          <cell r="C215">
            <v>0</v>
          </cell>
        </row>
        <row r="216">
          <cell r="B216" t="str">
            <v>HPE</v>
          </cell>
          <cell r="C216">
            <v>0</v>
          </cell>
        </row>
        <row r="217">
          <cell r="B217" t="str">
            <v>HPQ</v>
          </cell>
          <cell r="C217">
            <v>0</v>
          </cell>
        </row>
        <row r="218">
          <cell r="B218" t="str">
            <v>HRL</v>
          </cell>
          <cell r="C218">
            <v>0</v>
          </cell>
        </row>
        <row r="219">
          <cell r="B219" t="str">
            <v>HSIC</v>
          </cell>
          <cell r="C219">
            <v>0</v>
          </cell>
        </row>
        <row r="220">
          <cell r="B220" t="str">
            <v>HST</v>
          </cell>
          <cell r="C220">
            <v>0</v>
          </cell>
        </row>
        <row r="221">
          <cell r="B221" t="str">
            <v>HSY</v>
          </cell>
          <cell r="C221">
            <v>0</v>
          </cell>
        </row>
        <row r="222">
          <cell r="B222" t="str">
            <v>HUBB</v>
          </cell>
          <cell r="C222">
            <v>0</v>
          </cell>
        </row>
        <row r="223">
          <cell r="B223" t="str">
            <v>HUM</v>
          </cell>
          <cell r="C223">
            <v>0</v>
          </cell>
        </row>
        <row r="224">
          <cell r="B224" t="str">
            <v>IBM</v>
          </cell>
          <cell r="C224">
            <v>0</v>
          </cell>
        </row>
        <row r="225">
          <cell r="B225" t="str">
            <v>ICE</v>
          </cell>
          <cell r="C225">
            <v>0</v>
          </cell>
        </row>
        <row r="226">
          <cell r="B226" t="str">
            <v>IDXX</v>
          </cell>
          <cell r="C226">
            <v>0</v>
          </cell>
        </row>
        <row r="227">
          <cell r="B227" t="str">
            <v>IEX</v>
          </cell>
          <cell r="C227">
            <v>0</v>
          </cell>
        </row>
        <row r="228">
          <cell r="B228" t="str">
            <v>IFF</v>
          </cell>
          <cell r="C228">
            <v>0</v>
          </cell>
        </row>
        <row r="229">
          <cell r="B229" t="str">
            <v>INCY</v>
          </cell>
          <cell r="C229">
            <v>0</v>
          </cell>
        </row>
        <row r="230">
          <cell r="B230" t="str">
            <v>INTC</v>
          </cell>
          <cell r="C230">
            <v>1</v>
          </cell>
        </row>
        <row r="231">
          <cell r="B231" t="str">
            <v>INTU</v>
          </cell>
          <cell r="C231">
            <v>0</v>
          </cell>
        </row>
        <row r="232">
          <cell r="B232" t="str">
            <v>INVH</v>
          </cell>
          <cell r="C232">
            <v>0</v>
          </cell>
        </row>
        <row r="233">
          <cell r="B233" t="str">
            <v>IP</v>
          </cell>
          <cell r="C233">
            <v>0</v>
          </cell>
        </row>
        <row r="234">
          <cell r="B234" t="str">
            <v>IPG</v>
          </cell>
          <cell r="C234">
            <v>1</v>
          </cell>
        </row>
        <row r="235">
          <cell r="B235" t="str">
            <v>IQV</v>
          </cell>
          <cell r="C235">
            <v>0</v>
          </cell>
        </row>
        <row r="236">
          <cell r="B236" t="str">
            <v>IR</v>
          </cell>
          <cell r="C236">
            <v>0</v>
          </cell>
        </row>
        <row r="237">
          <cell r="B237" t="str">
            <v>IRM</v>
          </cell>
          <cell r="C237">
            <v>0</v>
          </cell>
        </row>
        <row r="238">
          <cell r="B238" t="str">
            <v>ISRG</v>
          </cell>
          <cell r="C238">
            <v>0</v>
          </cell>
        </row>
        <row r="239">
          <cell r="B239" t="str">
            <v>IT</v>
          </cell>
          <cell r="C239">
            <v>0</v>
          </cell>
        </row>
        <row r="240">
          <cell r="B240" t="str">
            <v>ITT</v>
          </cell>
          <cell r="C240">
            <v>0</v>
          </cell>
        </row>
        <row r="241">
          <cell r="B241" t="str">
            <v>ITW</v>
          </cell>
          <cell r="C241">
            <v>0</v>
          </cell>
        </row>
        <row r="242">
          <cell r="B242" t="str">
            <v>IVZ</v>
          </cell>
          <cell r="C242">
            <v>0</v>
          </cell>
        </row>
        <row r="243">
          <cell r="B243" t="str">
            <v>J</v>
          </cell>
          <cell r="C243">
            <v>0</v>
          </cell>
        </row>
        <row r="244">
          <cell r="B244" t="str">
            <v>JBHT</v>
          </cell>
          <cell r="C244">
            <v>0</v>
          </cell>
        </row>
        <row r="245">
          <cell r="B245" t="str">
            <v>JBL</v>
          </cell>
          <cell r="C245">
            <v>0</v>
          </cell>
        </row>
        <row r="246">
          <cell r="B246" t="str">
            <v>JCI</v>
          </cell>
          <cell r="C246">
            <v>0</v>
          </cell>
        </row>
        <row r="247">
          <cell r="B247" t="str">
            <v>JKHY</v>
          </cell>
          <cell r="C247">
            <v>0</v>
          </cell>
        </row>
        <row r="248">
          <cell r="B248" t="str">
            <v>JNJ</v>
          </cell>
          <cell r="C248">
            <v>0</v>
          </cell>
        </row>
        <row r="249">
          <cell r="B249" t="str">
            <v>JNPR</v>
          </cell>
          <cell r="C249">
            <v>1</v>
          </cell>
        </row>
        <row r="250">
          <cell r="B250" t="str">
            <v>JPM</v>
          </cell>
          <cell r="C250">
            <v>0</v>
          </cell>
        </row>
        <row r="251">
          <cell r="B251" t="str">
            <v>K</v>
          </cell>
          <cell r="C251">
            <v>0</v>
          </cell>
        </row>
        <row r="252">
          <cell r="B252" t="str">
            <v>KDP</v>
          </cell>
          <cell r="C252">
            <v>0</v>
          </cell>
        </row>
        <row r="253">
          <cell r="B253" t="str">
            <v>KEY</v>
          </cell>
          <cell r="C253">
            <v>0</v>
          </cell>
        </row>
        <row r="254">
          <cell r="B254" t="str">
            <v>KEYS</v>
          </cell>
          <cell r="C254">
            <v>0</v>
          </cell>
        </row>
        <row r="255">
          <cell r="B255" t="str">
            <v>KHC</v>
          </cell>
          <cell r="C255">
            <v>1</v>
          </cell>
        </row>
        <row r="256">
          <cell r="B256" t="str">
            <v>KIM</v>
          </cell>
          <cell r="C256">
            <v>0</v>
          </cell>
        </row>
        <row r="257">
          <cell r="B257" t="str">
            <v>KKR</v>
          </cell>
          <cell r="C257">
            <v>0</v>
          </cell>
        </row>
        <row r="258">
          <cell r="B258" t="str">
            <v>KLAC</v>
          </cell>
          <cell r="C258">
            <v>0</v>
          </cell>
        </row>
        <row r="259">
          <cell r="B259" t="str">
            <v>KMB</v>
          </cell>
          <cell r="C259">
            <v>0</v>
          </cell>
        </row>
        <row r="260">
          <cell r="B260" t="str">
            <v>KMI</v>
          </cell>
          <cell r="C260">
            <v>0</v>
          </cell>
        </row>
        <row r="261">
          <cell r="B261" t="str">
            <v>KMX</v>
          </cell>
          <cell r="C261">
            <v>0</v>
          </cell>
        </row>
        <row r="262">
          <cell r="B262" t="str">
            <v>KO</v>
          </cell>
          <cell r="C262">
            <v>0</v>
          </cell>
        </row>
        <row r="263">
          <cell r="B263" t="str">
            <v>KR</v>
          </cell>
          <cell r="C263">
            <v>0</v>
          </cell>
        </row>
        <row r="264">
          <cell r="B264" t="str">
            <v>L</v>
          </cell>
          <cell r="C264">
            <v>0</v>
          </cell>
        </row>
        <row r="265">
          <cell r="B265" t="str">
            <v>LDOS</v>
          </cell>
          <cell r="C265">
            <v>0</v>
          </cell>
        </row>
        <row r="266">
          <cell r="B266" t="str">
            <v>LEE</v>
          </cell>
          <cell r="C266">
            <v>0</v>
          </cell>
        </row>
        <row r="267">
          <cell r="B267" t="str">
            <v>LEN</v>
          </cell>
          <cell r="C267">
            <v>0</v>
          </cell>
        </row>
        <row r="268">
          <cell r="B268" t="str">
            <v>LH</v>
          </cell>
          <cell r="C268">
            <v>0</v>
          </cell>
        </row>
        <row r="269">
          <cell r="B269" t="str">
            <v>LHX</v>
          </cell>
          <cell r="C269">
            <v>0</v>
          </cell>
        </row>
        <row r="270">
          <cell r="B270" t="str">
            <v>LIN</v>
          </cell>
          <cell r="C270">
            <v>0</v>
          </cell>
        </row>
        <row r="271">
          <cell r="B271" t="str">
            <v>LKQ</v>
          </cell>
          <cell r="C271">
            <v>0</v>
          </cell>
        </row>
        <row r="272">
          <cell r="B272" t="str">
            <v>LLY</v>
          </cell>
          <cell r="C272">
            <v>0</v>
          </cell>
        </row>
        <row r="273">
          <cell r="B273" t="str">
            <v>LMT</v>
          </cell>
          <cell r="C273">
            <v>0</v>
          </cell>
        </row>
        <row r="274">
          <cell r="B274" t="str">
            <v>LNT</v>
          </cell>
          <cell r="C274">
            <v>0</v>
          </cell>
        </row>
        <row r="275">
          <cell r="B275" t="str">
            <v>LOW</v>
          </cell>
          <cell r="C275">
            <v>0</v>
          </cell>
        </row>
        <row r="276">
          <cell r="B276" t="str">
            <v>LRCX</v>
          </cell>
          <cell r="C276">
            <v>0</v>
          </cell>
        </row>
        <row r="277">
          <cell r="B277" t="str">
            <v>LULU</v>
          </cell>
          <cell r="C277">
            <v>0</v>
          </cell>
        </row>
        <row r="278">
          <cell r="B278" t="str">
            <v>LUV</v>
          </cell>
          <cell r="C278">
            <v>0</v>
          </cell>
        </row>
        <row r="279">
          <cell r="B279" t="str">
            <v>LVS</v>
          </cell>
          <cell r="C279">
            <v>0</v>
          </cell>
        </row>
        <row r="280">
          <cell r="B280" t="str">
            <v>LW</v>
          </cell>
          <cell r="C280">
            <v>0</v>
          </cell>
        </row>
        <row r="281">
          <cell r="B281" t="str">
            <v>LYB</v>
          </cell>
          <cell r="C281">
            <v>0</v>
          </cell>
        </row>
        <row r="282">
          <cell r="B282" t="str">
            <v>LYV</v>
          </cell>
          <cell r="C282">
            <v>0</v>
          </cell>
        </row>
        <row r="283">
          <cell r="B283" t="str">
            <v>MA</v>
          </cell>
          <cell r="C283">
            <v>0</v>
          </cell>
        </row>
        <row r="284">
          <cell r="B284" t="str">
            <v>MAA</v>
          </cell>
          <cell r="C284">
            <v>0</v>
          </cell>
        </row>
        <row r="285">
          <cell r="B285" t="str">
            <v>MAR</v>
          </cell>
          <cell r="C285">
            <v>0</v>
          </cell>
        </row>
        <row r="286">
          <cell r="B286" t="str">
            <v>MAS</v>
          </cell>
          <cell r="C286">
            <v>0</v>
          </cell>
        </row>
        <row r="287">
          <cell r="B287" t="str">
            <v>MCD</v>
          </cell>
          <cell r="C287">
            <v>0</v>
          </cell>
        </row>
        <row r="288">
          <cell r="B288" t="str">
            <v>MCHP</v>
          </cell>
          <cell r="C288">
            <v>0</v>
          </cell>
        </row>
        <row r="289">
          <cell r="B289" t="str">
            <v>MCK</v>
          </cell>
          <cell r="C289">
            <v>0</v>
          </cell>
        </row>
        <row r="290">
          <cell r="B290" t="str">
            <v>MCO</v>
          </cell>
          <cell r="C290">
            <v>0</v>
          </cell>
        </row>
        <row r="291">
          <cell r="B291" t="str">
            <v>MDLZ</v>
          </cell>
          <cell r="C291">
            <v>0</v>
          </cell>
        </row>
        <row r="292">
          <cell r="B292" t="str">
            <v>MDT</v>
          </cell>
          <cell r="C292">
            <v>0</v>
          </cell>
        </row>
        <row r="293">
          <cell r="B293" t="str">
            <v>MET</v>
          </cell>
          <cell r="C293">
            <v>0</v>
          </cell>
        </row>
        <row r="294">
          <cell r="B294" t="str">
            <v>MGM</v>
          </cell>
          <cell r="C294">
            <v>0</v>
          </cell>
        </row>
        <row r="295">
          <cell r="B295" t="str">
            <v>MHK</v>
          </cell>
          <cell r="C295">
            <v>0</v>
          </cell>
        </row>
        <row r="296">
          <cell r="B296" t="str">
            <v>MKC</v>
          </cell>
          <cell r="C296">
            <v>0</v>
          </cell>
        </row>
        <row r="297">
          <cell r="B297" t="str">
            <v>MKTX</v>
          </cell>
          <cell r="C297">
            <v>0</v>
          </cell>
        </row>
        <row r="298">
          <cell r="B298" t="str">
            <v>MLM</v>
          </cell>
          <cell r="C298">
            <v>0</v>
          </cell>
        </row>
        <row r="299">
          <cell r="B299" t="str">
            <v>MLSS</v>
          </cell>
          <cell r="C299">
            <v>0</v>
          </cell>
        </row>
        <row r="300">
          <cell r="B300" t="str">
            <v>MMC</v>
          </cell>
          <cell r="C300">
            <v>0</v>
          </cell>
        </row>
        <row r="301">
          <cell r="B301" t="str">
            <v>MMM</v>
          </cell>
          <cell r="C301">
            <v>0</v>
          </cell>
        </row>
        <row r="302">
          <cell r="B302" t="str">
            <v>MNST</v>
          </cell>
          <cell r="C302">
            <v>0</v>
          </cell>
        </row>
        <row r="303">
          <cell r="B303" t="str">
            <v>MO</v>
          </cell>
          <cell r="C303">
            <v>0</v>
          </cell>
        </row>
        <row r="304">
          <cell r="B304" t="str">
            <v>MOH</v>
          </cell>
          <cell r="C304">
            <v>0</v>
          </cell>
        </row>
        <row r="305">
          <cell r="B305" t="str">
            <v>MOS</v>
          </cell>
          <cell r="C305">
            <v>1</v>
          </cell>
        </row>
        <row r="306">
          <cell r="B306" t="str">
            <v>MPC</v>
          </cell>
          <cell r="C306">
            <v>0</v>
          </cell>
        </row>
        <row r="307">
          <cell r="B307" t="str">
            <v>MPWR</v>
          </cell>
          <cell r="C307">
            <v>0</v>
          </cell>
        </row>
        <row r="308">
          <cell r="B308" t="str">
            <v>MRK</v>
          </cell>
          <cell r="C308">
            <v>0</v>
          </cell>
        </row>
        <row r="309">
          <cell r="B309" t="str">
            <v>MRNA</v>
          </cell>
          <cell r="C309">
            <v>0</v>
          </cell>
        </row>
        <row r="310">
          <cell r="B310" t="str">
            <v>MS</v>
          </cell>
          <cell r="C310">
            <v>0</v>
          </cell>
        </row>
        <row r="311">
          <cell r="B311" t="str">
            <v>MSCI</v>
          </cell>
          <cell r="C311">
            <v>0</v>
          </cell>
        </row>
        <row r="312">
          <cell r="B312" t="str">
            <v>MSFT</v>
          </cell>
          <cell r="C312">
            <v>0</v>
          </cell>
        </row>
        <row r="313">
          <cell r="B313" t="str">
            <v>MSI</v>
          </cell>
          <cell r="C313">
            <v>0</v>
          </cell>
        </row>
        <row r="314">
          <cell r="B314" t="str">
            <v>MTB</v>
          </cell>
          <cell r="C314">
            <v>0</v>
          </cell>
        </row>
        <row r="315">
          <cell r="B315" t="str">
            <v>MTCH</v>
          </cell>
          <cell r="C315">
            <v>0</v>
          </cell>
        </row>
        <row r="316">
          <cell r="B316" t="str">
            <v>MTD</v>
          </cell>
          <cell r="C316">
            <v>0</v>
          </cell>
        </row>
        <row r="317">
          <cell r="B317" t="str">
            <v>MU</v>
          </cell>
          <cell r="C317">
            <v>0</v>
          </cell>
        </row>
        <row r="318">
          <cell r="B318" t="str">
            <v>NCLH</v>
          </cell>
          <cell r="C318">
            <v>0</v>
          </cell>
        </row>
        <row r="319">
          <cell r="B319" t="str">
            <v>NDAQ</v>
          </cell>
          <cell r="C319">
            <v>0</v>
          </cell>
        </row>
        <row r="320">
          <cell r="B320" t="str">
            <v>NDSN</v>
          </cell>
          <cell r="C320">
            <v>0</v>
          </cell>
        </row>
        <row r="321">
          <cell r="B321" t="str">
            <v>NEE</v>
          </cell>
          <cell r="C321">
            <v>0</v>
          </cell>
        </row>
        <row r="322">
          <cell r="B322" t="str">
            <v>NEM</v>
          </cell>
          <cell r="C322">
            <v>0</v>
          </cell>
        </row>
        <row r="323">
          <cell r="B323" t="str">
            <v>NFLX</v>
          </cell>
          <cell r="C323">
            <v>0</v>
          </cell>
        </row>
        <row r="324">
          <cell r="B324" t="str">
            <v>NI</v>
          </cell>
          <cell r="C324">
            <v>0</v>
          </cell>
        </row>
        <row r="325">
          <cell r="B325" t="str">
            <v>NKE</v>
          </cell>
          <cell r="C325">
            <v>0</v>
          </cell>
        </row>
        <row r="326">
          <cell r="B326" t="str">
            <v>NOC</v>
          </cell>
          <cell r="C326">
            <v>0</v>
          </cell>
        </row>
        <row r="327">
          <cell r="B327" t="str">
            <v>NOW</v>
          </cell>
          <cell r="C327">
            <v>0</v>
          </cell>
        </row>
        <row r="328">
          <cell r="B328" t="str">
            <v>NRG</v>
          </cell>
          <cell r="C328">
            <v>0</v>
          </cell>
        </row>
        <row r="329">
          <cell r="B329" t="str">
            <v>NSC</v>
          </cell>
          <cell r="C329">
            <v>0</v>
          </cell>
        </row>
        <row r="330">
          <cell r="B330" t="str">
            <v>NTAP</v>
          </cell>
          <cell r="C330">
            <v>0</v>
          </cell>
        </row>
        <row r="331">
          <cell r="B331" t="str">
            <v>NTRS</v>
          </cell>
          <cell r="C331">
            <v>0</v>
          </cell>
        </row>
        <row r="332">
          <cell r="B332" t="str">
            <v>NUE</v>
          </cell>
          <cell r="C332">
            <v>0</v>
          </cell>
        </row>
        <row r="333">
          <cell r="B333" t="str">
            <v>NVDA</v>
          </cell>
          <cell r="C333">
            <v>0</v>
          </cell>
        </row>
        <row r="334">
          <cell r="B334" t="str">
            <v>NVR</v>
          </cell>
          <cell r="C334">
            <v>0</v>
          </cell>
        </row>
        <row r="335">
          <cell r="B335" t="str">
            <v>NWS</v>
          </cell>
          <cell r="C335">
            <v>0</v>
          </cell>
        </row>
        <row r="336">
          <cell r="B336" t="str">
            <v>NWSA</v>
          </cell>
          <cell r="C336">
            <v>0</v>
          </cell>
        </row>
        <row r="337">
          <cell r="B337" t="str">
            <v>NXPI</v>
          </cell>
          <cell r="C337">
            <v>0</v>
          </cell>
        </row>
        <row r="338">
          <cell r="B338" t="str">
            <v>O</v>
          </cell>
          <cell r="C338">
            <v>0</v>
          </cell>
        </row>
        <row r="339">
          <cell r="B339" t="str">
            <v>ODFL</v>
          </cell>
          <cell r="C339">
            <v>0</v>
          </cell>
        </row>
        <row r="340">
          <cell r="B340" t="str">
            <v>OKE</v>
          </cell>
          <cell r="C340">
            <v>0</v>
          </cell>
        </row>
        <row r="341">
          <cell r="B341" t="str">
            <v>OMC</v>
          </cell>
          <cell r="C341">
            <v>0</v>
          </cell>
        </row>
        <row r="342">
          <cell r="B342" t="str">
            <v>ON</v>
          </cell>
          <cell r="C342">
            <v>0</v>
          </cell>
        </row>
        <row r="343">
          <cell r="B343" t="str">
            <v>ORCL</v>
          </cell>
          <cell r="C343">
            <v>0</v>
          </cell>
        </row>
        <row r="344">
          <cell r="B344" t="str">
            <v>ORLY</v>
          </cell>
          <cell r="C344">
            <v>0</v>
          </cell>
        </row>
        <row r="345">
          <cell r="B345" t="str">
            <v>OXY</v>
          </cell>
          <cell r="C345">
            <v>0</v>
          </cell>
        </row>
        <row r="346">
          <cell r="B346" t="str">
            <v>PANW</v>
          </cell>
          <cell r="C346">
            <v>0</v>
          </cell>
        </row>
        <row r="347">
          <cell r="B347" t="str">
            <v>PAR</v>
          </cell>
          <cell r="C347">
            <v>0</v>
          </cell>
        </row>
        <row r="348">
          <cell r="B348" t="str">
            <v>PAYC</v>
          </cell>
          <cell r="C348">
            <v>0</v>
          </cell>
        </row>
        <row r="349">
          <cell r="B349" t="str">
            <v>PAYX</v>
          </cell>
          <cell r="C349">
            <v>0</v>
          </cell>
        </row>
        <row r="350">
          <cell r="B350" t="str">
            <v>PCAR</v>
          </cell>
          <cell r="C350">
            <v>0</v>
          </cell>
        </row>
        <row r="351">
          <cell r="B351" t="str">
            <v>PCG</v>
          </cell>
          <cell r="C351">
            <v>0</v>
          </cell>
        </row>
        <row r="352">
          <cell r="B352" t="str">
            <v>PEG</v>
          </cell>
          <cell r="C352">
            <v>0</v>
          </cell>
        </row>
        <row r="353">
          <cell r="B353" t="str">
            <v>PEP</v>
          </cell>
          <cell r="C353">
            <v>0</v>
          </cell>
        </row>
        <row r="354">
          <cell r="B354" t="str">
            <v>PFE</v>
          </cell>
          <cell r="C354">
            <v>1</v>
          </cell>
        </row>
        <row r="355">
          <cell r="B355" t="str">
            <v>PFG</v>
          </cell>
          <cell r="C355">
            <v>0</v>
          </cell>
        </row>
        <row r="356">
          <cell r="B356" t="str">
            <v>PG</v>
          </cell>
          <cell r="C356">
            <v>0</v>
          </cell>
        </row>
        <row r="357">
          <cell r="B357" t="str">
            <v>PGR</v>
          </cell>
          <cell r="C357">
            <v>0</v>
          </cell>
        </row>
        <row r="358">
          <cell r="B358" t="str">
            <v>PH</v>
          </cell>
          <cell r="C358">
            <v>0</v>
          </cell>
        </row>
        <row r="359">
          <cell r="B359" t="str">
            <v>PHM</v>
          </cell>
          <cell r="C359">
            <v>0</v>
          </cell>
        </row>
        <row r="360">
          <cell r="B360" t="str">
            <v>PKG</v>
          </cell>
          <cell r="C360">
            <v>0</v>
          </cell>
        </row>
        <row r="361">
          <cell r="B361" t="str">
            <v>PLD</v>
          </cell>
          <cell r="C361">
            <v>0</v>
          </cell>
        </row>
        <row r="362">
          <cell r="B362" t="str">
            <v>PM</v>
          </cell>
          <cell r="C362">
            <v>0</v>
          </cell>
        </row>
        <row r="363">
          <cell r="B363" t="str">
            <v>PNC</v>
          </cell>
          <cell r="C363">
            <v>0</v>
          </cell>
        </row>
        <row r="364">
          <cell r="B364" t="str">
            <v>PNR</v>
          </cell>
          <cell r="C364">
            <v>0</v>
          </cell>
        </row>
        <row r="365">
          <cell r="B365" t="str">
            <v>PNW</v>
          </cell>
          <cell r="C365">
            <v>0</v>
          </cell>
        </row>
        <row r="366">
          <cell r="B366" t="str">
            <v>PODD</v>
          </cell>
          <cell r="C366">
            <v>0</v>
          </cell>
        </row>
        <row r="367">
          <cell r="B367" t="str">
            <v>POOL</v>
          </cell>
          <cell r="C367">
            <v>0</v>
          </cell>
        </row>
        <row r="368">
          <cell r="B368" t="str">
            <v>PPG</v>
          </cell>
          <cell r="C368">
            <v>0</v>
          </cell>
        </row>
        <row r="369">
          <cell r="B369" t="str">
            <v>PPL</v>
          </cell>
          <cell r="C369">
            <v>0</v>
          </cell>
        </row>
        <row r="370">
          <cell r="B370" t="str">
            <v>PRU</v>
          </cell>
          <cell r="C370">
            <v>0</v>
          </cell>
        </row>
        <row r="371">
          <cell r="B371" t="str">
            <v>PSA</v>
          </cell>
          <cell r="C371">
            <v>0</v>
          </cell>
        </row>
        <row r="372">
          <cell r="B372" t="str">
            <v>PSX</v>
          </cell>
          <cell r="C372">
            <v>0</v>
          </cell>
        </row>
        <row r="373">
          <cell r="B373" t="str">
            <v>PTC</v>
          </cell>
          <cell r="C373">
            <v>0</v>
          </cell>
        </row>
        <row r="374">
          <cell r="B374" t="str">
            <v>PWR</v>
          </cell>
          <cell r="C374">
            <v>0</v>
          </cell>
        </row>
        <row r="375">
          <cell r="B375" t="str">
            <v>PYPL</v>
          </cell>
          <cell r="C375">
            <v>0</v>
          </cell>
        </row>
        <row r="376">
          <cell r="B376" t="str">
            <v>QCOM</v>
          </cell>
          <cell r="C376">
            <v>0</v>
          </cell>
        </row>
        <row r="377">
          <cell r="B377" t="str">
            <v>RCL</v>
          </cell>
          <cell r="C377">
            <v>0</v>
          </cell>
        </row>
        <row r="378">
          <cell r="B378" t="str">
            <v>REG</v>
          </cell>
          <cell r="C378">
            <v>0</v>
          </cell>
        </row>
        <row r="379">
          <cell r="B379" t="str">
            <v>REGN</v>
          </cell>
          <cell r="C379">
            <v>0</v>
          </cell>
        </row>
        <row r="380">
          <cell r="B380" t="str">
            <v>RF</v>
          </cell>
          <cell r="C380">
            <v>0</v>
          </cell>
        </row>
        <row r="381">
          <cell r="B381" t="str">
            <v>RJF</v>
          </cell>
          <cell r="C381">
            <v>0</v>
          </cell>
        </row>
        <row r="382">
          <cell r="B382" t="str">
            <v>RL</v>
          </cell>
          <cell r="C382">
            <v>0</v>
          </cell>
        </row>
        <row r="383">
          <cell r="B383" t="str">
            <v>RMD</v>
          </cell>
          <cell r="C383">
            <v>0</v>
          </cell>
        </row>
        <row r="384">
          <cell r="B384" t="str">
            <v>ROK</v>
          </cell>
          <cell r="C384">
            <v>0</v>
          </cell>
        </row>
        <row r="385">
          <cell r="B385" t="str">
            <v>ROL</v>
          </cell>
          <cell r="C385">
            <v>0</v>
          </cell>
        </row>
        <row r="386">
          <cell r="B386" t="str">
            <v>ROP</v>
          </cell>
          <cell r="C386">
            <v>0</v>
          </cell>
        </row>
        <row r="387">
          <cell r="B387" t="str">
            <v>ROST</v>
          </cell>
          <cell r="C387">
            <v>0</v>
          </cell>
        </row>
        <row r="388">
          <cell r="B388" t="str">
            <v>RSG</v>
          </cell>
          <cell r="C388">
            <v>0</v>
          </cell>
        </row>
        <row r="389">
          <cell r="B389" t="str">
            <v>SBAC</v>
          </cell>
          <cell r="C389">
            <v>0</v>
          </cell>
        </row>
        <row r="390">
          <cell r="B390" t="str">
            <v>SBUX</v>
          </cell>
          <cell r="C390">
            <v>0</v>
          </cell>
        </row>
        <row r="391">
          <cell r="B391" t="str">
            <v>SCHW</v>
          </cell>
          <cell r="C391">
            <v>0</v>
          </cell>
        </row>
        <row r="392">
          <cell r="B392" t="str">
            <v>SHW</v>
          </cell>
          <cell r="C392">
            <v>0</v>
          </cell>
        </row>
        <row r="393">
          <cell r="B393" t="str">
            <v>SJM</v>
          </cell>
          <cell r="C393">
            <v>0</v>
          </cell>
        </row>
        <row r="394">
          <cell r="B394" t="str">
            <v>SLB</v>
          </cell>
          <cell r="C394">
            <v>0</v>
          </cell>
        </row>
        <row r="395">
          <cell r="B395" t="str">
            <v>SMCI</v>
          </cell>
          <cell r="C395">
            <v>0</v>
          </cell>
        </row>
        <row r="396">
          <cell r="B396" t="str">
            <v>SNA</v>
          </cell>
          <cell r="C396">
            <v>0</v>
          </cell>
        </row>
        <row r="397">
          <cell r="B397" t="str">
            <v>SNPS</v>
          </cell>
          <cell r="C397">
            <v>0</v>
          </cell>
        </row>
        <row r="398">
          <cell r="B398" t="str">
            <v>SO</v>
          </cell>
          <cell r="C398">
            <v>0</v>
          </cell>
        </row>
        <row r="399">
          <cell r="B399" t="str">
            <v>SPG</v>
          </cell>
          <cell r="C399">
            <v>0</v>
          </cell>
        </row>
        <row r="400">
          <cell r="B400" t="str">
            <v>SPGI</v>
          </cell>
          <cell r="C400">
            <v>0</v>
          </cell>
        </row>
        <row r="401">
          <cell r="B401" t="str">
            <v>SPYV</v>
          </cell>
          <cell r="C401">
            <v>1</v>
          </cell>
        </row>
        <row r="402">
          <cell r="B402" t="str">
            <v>SRE</v>
          </cell>
          <cell r="C402">
            <v>0</v>
          </cell>
        </row>
        <row r="403">
          <cell r="B403" t="str">
            <v>STE</v>
          </cell>
          <cell r="C403">
            <v>0</v>
          </cell>
        </row>
        <row r="404">
          <cell r="B404" t="str">
            <v>STLD</v>
          </cell>
          <cell r="C404">
            <v>0</v>
          </cell>
        </row>
        <row r="405">
          <cell r="B405" t="str">
            <v>STT</v>
          </cell>
          <cell r="C405">
            <v>0</v>
          </cell>
        </row>
        <row r="406">
          <cell r="B406" t="str">
            <v>STX</v>
          </cell>
          <cell r="C406">
            <v>0</v>
          </cell>
        </row>
        <row r="407">
          <cell r="B407" t="str">
            <v>STZ</v>
          </cell>
          <cell r="C407">
            <v>0</v>
          </cell>
        </row>
        <row r="408">
          <cell r="B408" t="str">
            <v>SWK</v>
          </cell>
          <cell r="C408">
            <v>0</v>
          </cell>
        </row>
        <row r="409">
          <cell r="B409" t="str">
            <v>SWKS</v>
          </cell>
          <cell r="C409">
            <v>0</v>
          </cell>
        </row>
        <row r="410">
          <cell r="B410" t="str">
            <v>SYF</v>
          </cell>
          <cell r="C410">
            <v>0</v>
          </cell>
        </row>
        <row r="411">
          <cell r="B411" t="str">
            <v>SYK</v>
          </cell>
          <cell r="C411">
            <v>0</v>
          </cell>
        </row>
        <row r="412">
          <cell r="B412" t="str">
            <v>SYY</v>
          </cell>
          <cell r="C412">
            <v>0</v>
          </cell>
        </row>
        <row r="413">
          <cell r="B413" t="str">
            <v>T</v>
          </cell>
          <cell r="C413">
            <v>0</v>
          </cell>
        </row>
        <row r="414">
          <cell r="B414" t="str">
            <v>TAP</v>
          </cell>
          <cell r="C414">
            <v>0</v>
          </cell>
        </row>
        <row r="415">
          <cell r="B415" t="str">
            <v>TDG</v>
          </cell>
          <cell r="C415">
            <v>0</v>
          </cell>
        </row>
        <row r="416">
          <cell r="B416" t="str">
            <v>TDY</v>
          </cell>
          <cell r="C416">
            <v>0</v>
          </cell>
        </row>
        <row r="417">
          <cell r="B417" t="str">
            <v>TECH</v>
          </cell>
          <cell r="C417">
            <v>0</v>
          </cell>
        </row>
        <row r="418">
          <cell r="B418" t="str">
            <v>TEL</v>
          </cell>
          <cell r="C418">
            <v>0</v>
          </cell>
        </row>
        <row r="419">
          <cell r="B419" t="str">
            <v>TER</v>
          </cell>
          <cell r="C419">
            <v>0</v>
          </cell>
        </row>
        <row r="420">
          <cell r="B420" t="str">
            <v>TFC</v>
          </cell>
          <cell r="C420">
            <v>0</v>
          </cell>
        </row>
        <row r="421">
          <cell r="B421" t="str">
            <v>TFX</v>
          </cell>
          <cell r="C421">
            <v>0</v>
          </cell>
        </row>
        <row r="422">
          <cell r="B422" t="str">
            <v>TGT</v>
          </cell>
          <cell r="C422">
            <v>0</v>
          </cell>
        </row>
        <row r="423">
          <cell r="B423" t="str">
            <v>TJX</v>
          </cell>
          <cell r="C423">
            <v>0</v>
          </cell>
        </row>
        <row r="424">
          <cell r="B424" t="str">
            <v>TMO</v>
          </cell>
          <cell r="C424">
            <v>0</v>
          </cell>
        </row>
        <row r="425">
          <cell r="B425" t="str">
            <v>TMUS</v>
          </cell>
          <cell r="C425">
            <v>0</v>
          </cell>
        </row>
        <row r="426">
          <cell r="B426" t="str">
            <v>TPL</v>
          </cell>
          <cell r="C426">
            <v>0</v>
          </cell>
        </row>
        <row r="427">
          <cell r="B427" t="str">
            <v>TPR</v>
          </cell>
          <cell r="C427">
            <v>0</v>
          </cell>
        </row>
        <row r="428">
          <cell r="B428" t="str">
            <v>TRGP</v>
          </cell>
          <cell r="C428">
            <v>0</v>
          </cell>
        </row>
        <row r="429">
          <cell r="B429" t="str">
            <v>TRMB</v>
          </cell>
          <cell r="C429">
            <v>0</v>
          </cell>
        </row>
        <row r="430">
          <cell r="B430" t="str">
            <v>TROW</v>
          </cell>
          <cell r="C430">
            <v>0</v>
          </cell>
        </row>
        <row r="431">
          <cell r="B431" t="str">
            <v>TRV</v>
          </cell>
          <cell r="C431">
            <v>0</v>
          </cell>
        </row>
        <row r="432">
          <cell r="B432" t="str">
            <v>TSCO</v>
          </cell>
          <cell r="C432">
            <v>0</v>
          </cell>
        </row>
        <row r="433">
          <cell r="B433" t="str">
            <v>TSLA</v>
          </cell>
          <cell r="C433">
            <v>0</v>
          </cell>
        </row>
        <row r="434">
          <cell r="B434" t="str">
            <v>TSN</v>
          </cell>
          <cell r="C434">
            <v>0</v>
          </cell>
        </row>
        <row r="435">
          <cell r="B435" t="str">
            <v>TTWO</v>
          </cell>
          <cell r="C435">
            <v>0</v>
          </cell>
        </row>
        <row r="436">
          <cell r="B436" t="str">
            <v>TXN</v>
          </cell>
          <cell r="C436">
            <v>0</v>
          </cell>
        </row>
        <row r="437">
          <cell r="B437" t="str">
            <v>TXT</v>
          </cell>
          <cell r="C437">
            <v>0</v>
          </cell>
        </row>
        <row r="438">
          <cell r="B438" t="str">
            <v>TYL</v>
          </cell>
          <cell r="C438">
            <v>0</v>
          </cell>
        </row>
        <row r="439">
          <cell r="B439" t="str">
            <v>UAL</v>
          </cell>
          <cell r="C439">
            <v>0</v>
          </cell>
        </row>
        <row r="440">
          <cell r="B440" t="str">
            <v>UBER</v>
          </cell>
          <cell r="C440">
            <v>0</v>
          </cell>
        </row>
        <row r="441">
          <cell r="B441" t="str">
            <v>UDR</v>
          </cell>
          <cell r="C441">
            <v>0</v>
          </cell>
        </row>
        <row r="442">
          <cell r="B442" t="str">
            <v>UHS</v>
          </cell>
          <cell r="C442">
            <v>0</v>
          </cell>
        </row>
        <row r="443">
          <cell r="B443" t="str">
            <v>ULTA</v>
          </cell>
          <cell r="C443">
            <v>0</v>
          </cell>
        </row>
        <row r="444">
          <cell r="B444" t="str">
            <v>UNH</v>
          </cell>
          <cell r="C444">
            <v>0</v>
          </cell>
        </row>
        <row r="445">
          <cell r="B445" t="str">
            <v>UNP</v>
          </cell>
          <cell r="C445">
            <v>0</v>
          </cell>
        </row>
        <row r="446">
          <cell r="B446" t="str">
            <v>UPS</v>
          </cell>
          <cell r="C446">
            <v>0</v>
          </cell>
        </row>
        <row r="447">
          <cell r="B447" t="str">
            <v>URI</v>
          </cell>
          <cell r="C447">
            <v>0</v>
          </cell>
        </row>
        <row r="448">
          <cell r="B448" t="str">
            <v>USB</v>
          </cell>
          <cell r="C448">
            <v>0</v>
          </cell>
        </row>
        <row r="449">
          <cell r="B449" t="str">
            <v>V</v>
          </cell>
          <cell r="C449">
            <v>0</v>
          </cell>
        </row>
        <row r="450">
          <cell r="B450" t="str">
            <v>VICI</v>
          </cell>
          <cell r="C450">
            <v>0</v>
          </cell>
        </row>
        <row r="451">
          <cell r="B451" t="str">
            <v>VLO</v>
          </cell>
          <cell r="C451">
            <v>0</v>
          </cell>
        </row>
        <row r="452">
          <cell r="B452" t="str">
            <v>VMC</v>
          </cell>
          <cell r="C452">
            <v>0</v>
          </cell>
        </row>
        <row r="453">
          <cell r="B453" t="str">
            <v>VRSK</v>
          </cell>
          <cell r="C453">
            <v>0</v>
          </cell>
        </row>
        <row r="454">
          <cell r="B454" t="str">
            <v>VRSN</v>
          </cell>
          <cell r="C454">
            <v>0</v>
          </cell>
        </row>
        <row r="455">
          <cell r="B455" t="str">
            <v>VRTX</v>
          </cell>
          <cell r="C455">
            <v>0</v>
          </cell>
        </row>
        <row r="456">
          <cell r="B456" t="str">
            <v>VST</v>
          </cell>
          <cell r="C456">
            <v>0</v>
          </cell>
        </row>
        <row r="457">
          <cell r="B457" t="str">
            <v>VTR</v>
          </cell>
          <cell r="C457">
            <v>0</v>
          </cell>
        </row>
        <row r="458">
          <cell r="B458" t="str">
            <v>VZ</v>
          </cell>
          <cell r="C458">
            <v>0</v>
          </cell>
        </row>
        <row r="459">
          <cell r="B459" t="str">
            <v>WAB</v>
          </cell>
          <cell r="C459">
            <v>0</v>
          </cell>
        </row>
        <row r="460">
          <cell r="B460" t="str">
            <v>WABC</v>
          </cell>
          <cell r="C460">
            <v>0</v>
          </cell>
        </row>
        <row r="461">
          <cell r="B461" t="str">
            <v>WAT</v>
          </cell>
          <cell r="C461">
            <v>0</v>
          </cell>
        </row>
        <row r="462">
          <cell r="B462" t="str">
            <v>WBA</v>
          </cell>
          <cell r="C462">
            <v>0</v>
          </cell>
        </row>
        <row r="463">
          <cell r="B463" t="str">
            <v>WDAY</v>
          </cell>
          <cell r="C463">
            <v>0</v>
          </cell>
        </row>
        <row r="464">
          <cell r="B464" t="str">
            <v>WDC</v>
          </cell>
          <cell r="C464">
            <v>0</v>
          </cell>
        </row>
        <row r="465">
          <cell r="B465" t="str">
            <v>WEC</v>
          </cell>
          <cell r="C465">
            <v>0</v>
          </cell>
        </row>
        <row r="466">
          <cell r="B466" t="str">
            <v>WELL</v>
          </cell>
          <cell r="C466">
            <v>0</v>
          </cell>
        </row>
        <row r="467">
          <cell r="B467" t="str">
            <v>WFC</v>
          </cell>
          <cell r="C467">
            <v>0</v>
          </cell>
        </row>
        <row r="468">
          <cell r="B468" t="str">
            <v>WM</v>
          </cell>
          <cell r="C468">
            <v>0</v>
          </cell>
        </row>
        <row r="469">
          <cell r="B469" t="str">
            <v>WMB</v>
          </cell>
          <cell r="C469">
            <v>0</v>
          </cell>
        </row>
        <row r="470">
          <cell r="B470" t="str">
            <v>WMT</v>
          </cell>
          <cell r="C470">
            <v>0</v>
          </cell>
        </row>
        <row r="471">
          <cell r="B471" t="str">
            <v>WRB</v>
          </cell>
          <cell r="C471">
            <v>0</v>
          </cell>
        </row>
        <row r="472">
          <cell r="B472" t="str">
            <v>WST</v>
          </cell>
          <cell r="C472">
            <v>0</v>
          </cell>
        </row>
        <row r="473">
          <cell r="B473" t="str">
            <v>WW</v>
          </cell>
          <cell r="C473">
            <v>3</v>
          </cell>
        </row>
        <row r="474">
          <cell r="B474" t="str">
            <v>WY</v>
          </cell>
          <cell r="C474">
            <v>0</v>
          </cell>
        </row>
        <row r="475">
          <cell r="B475" t="str">
            <v>WYNN</v>
          </cell>
          <cell r="C475">
            <v>0</v>
          </cell>
        </row>
        <row r="476">
          <cell r="B476" t="str">
            <v>XEL</v>
          </cell>
          <cell r="C476">
            <v>0</v>
          </cell>
        </row>
        <row r="477">
          <cell r="B477" t="str">
            <v>XOM</v>
          </cell>
          <cell r="C477">
            <v>0</v>
          </cell>
        </row>
        <row r="478">
          <cell r="B478" t="str">
            <v>XYL</v>
          </cell>
          <cell r="C478">
            <v>0</v>
          </cell>
        </row>
        <row r="479">
          <cell r="B479" t="str">
            <v>YUM</v>
          </cell>
          <cell r="C479">
            <v>0</v>
          </cell>
        </row>
        <row r="480">
          <cell r="B480" t="str">
            <v>ZBH</v>
          </cell>
          <cell r="C480">
            <v>0</v>
          </cell>
        </row>
        <row r="481">
          <cell r="B481" t="str">
            <v>ZBRA</v>
          </cell>
          <cell r="C481">
            <v>0</v>
          </cell>
        </row>
        <row r="482">
          <cell r="B482" t="str">
            <v>ZTS</v>
          </cell>
          <cell r="C48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32"/>
  <sheetViews>
    <sheetView tabSelected="1" topLeftCell="K1" workbookViewId="0">
      <selection activeCell="U18" sqref="U18"/>
    </sheetView>
  </sheetViews>
  <sheetFormatPr baseColWidth="10" defaultColWidth="8.83203125" defaultRowHeight="15" x14ac:dyDescent="0.2"/>
  <cols>
    <col min="1" max="1" width="16.83203125" bestFit="1" customWidth="1"/>
    <col min="2" max="2" width="10.1640625" bestFit="1" customWidth="1"/>
    <col min="3" max="3" width="11.6640625" bestFit="1" customWidth="1"/>
    <col min="4" max="4" width="31.1640625" bestFit="1" customWidth="1"/>
    <col min="5" max="5" width="19.1640625" bestFit="1" customWidth="1"/>
    <col min="7" max="7" width="18" bestFit="1" customWidth="1"/>
    <col min="8" max="8" width="15.6640625" bestFit="1" customWidth="1"/>
    <col min="10" max="10" width="18" bestFit="1" customWidth="1"/>
    <col min="11" max="11" width="15.6640625" bestFit="1" customWidth="1"/>
    <col min="13" max="13" width="18" bestFit="1" customWidth="1"/>
    <col min="14" max="14" width="15.6640625" bestFit="1" customWidth="1"/>
    <col min="16" max="16" width="18" bestFit="1" customWidth="1"/>
    <col min="17" max="17" width="15.6640625" bestFit="1" customWidth="1"/>
    <col min="19" max="19" width="18" bestFit="1" customWidth="1"/>
    <col min="20" max="20" width="15.6640625" bestFit="1" customWidth="1"/>
    <col min="22" max="22" width="18" bestFit="1" customWidth="1"/>
    <col min="23" max="23" width="15.6640625" bestFit="1" customWidth="1"/>
  </cols>
  <sheetData>
    <row r="2" spans="1:23" x14ac:dyDescent="0.2">
      <c r="A2" s="2" t="s">
        <v>989</v>
      </c>
      <c r="C2" t="s">
        <v>1049</v>
      </c>
    </row>
    <row r="3" spans="1:23" x14ac:dyDescent="0.2">
      <c r="A3" s="2" t="s">
        <v>990</v>
      </c>
      <c r="C3">
        <v>2868506</v>
      </c>
    </row>
    <row r="4" spans="1:23" x14ac:dyDescent="0.2">
      <c r="A4" s="2"/>
    </row>
    <row r="5" spans="1:23" x14ac:dyDescent="0.2">
      <c r="A5" s="2" t="s">
        <v>991</v>
      </c>
      <c r="C5">
        <v>100000</v>
      </c>
      <c r="D5" t="s">
        <v>992</v>
      </c>
    </row>
    <row r="6" spans="1:23" x14ac:dyDescent="0.2">
      <c r="A6" s="2" t="s">
        <v>988</v>
      </c>
      <c r="B6" s="1">
        <v>45655</v>
      </c>
    </row>
    <row r="8" spans="1:23" x14ac:dyDescent="0.2">
      <c r="A8" s="2" t="s">
        <v>1005</v>
      </c>
      <c r="G8" s="9" t="s">
        <v>996</v>
      </c>
      <c r="H8" s="9"/>
      <c r="J8" s="9" t="s">
        <v>997</v>
      </c>
      <c r="K8" s="9"/>
      <c r="M8" s="9" t="s">
        <v>998</v>
      </c>
      <c r="N8" s="9"/>
      <c r="P8" s="9" t="s">
        <v>999</v>
      </c>
      <c r="Q8" s="9"/>
      <c r="S8" s="9" t="s">
        <v>1000</v>
      </c>
      <c r="T8" s="9"/>
      <c r="V8" s="9" t="s">
        <v>1001</v>
      </c>
      <c r="W8" s="9"/>
    </row>
    <row r="9" spans="1:23" x14ac:dyDescent="0.2">
      <c r="A9" s="2"/>
      <c r="G9" s="4" t="s">
        <v>1002</v>
      </c>
      <c r="H9" s="5">
        <f>SUM(H15:H532)</f>
        <v>0.95453910081744253</v>
      </c>
      <c r="J9" s="4" t="s">
        <v>1002</v>
      </c>
      <c r="K9" s="5">
        <f>SUM(K15:K532)</f>
        <v>0.96625220365047493</v>
      </c>
      <c r="M9" s="4" t="s">
        <v>1002</v>
      </c>
      <c r="N9" s="5">
        <f>SUM(N15:N532)</f>
        <v>0.94620630058288624</v>
      </c>
      <c r="P9" s="4" t="s">
        <v>1002</v>
      </c>
      <c r="Q9" s="5">
        <f>SUM(Q15:Q532)</f>
        <v>0.99789550477981603</v>
      </c>
      <c r="S9" s="4" t="s">
        <v>1002</v>
      </c>
      <c r="T9" s="5">
        <f>SUM(T15:T532)</f>
        <v>0.97431170577526149</v>
      </c>
      <c r="V9" s="4" t="s">
        <v>1002</v>
      </c>
      <c r="W9" s="5">
        <f>SUM(W15:W532)</f>
        <v>8.3688000822067267E-3</v>
      </c>
    </row>
    <row r="10" spans="1:23" x14ac:dyDescent="0.2">
      <c r="A10" s="2"/>
      <c r="G10" s="4" t="s">
        <v>1003</v>
      </c>
      <c r="H10" s="5">
        <f>H14</f>
        <v>4.5460899182558058E-2</v>
      </c>
      <c r="J10" s="4" t="s">
        <v>1003</v>
      </c>
      <c r="K10" s="5">
        <f>K14</f>
        <v>3.3747796349525454E-2</v>
      </c>
      <c r="M10" s="4" t="s">
        <v>1003</v>
      </c>
      <c r="N10" s="5">
        <f>N14</f>
        <v>5.379369941711426E-2</v>
      </c>
      <c r="P10" s="4" t="s">
        <v>1003</v>
      </c>
      <c r="Q10" s="8">
        <f>Q14</f>
        <v>2.1044952201843261E-3</v>
      </c>
      <c r="S10" s="4" t="s">
        <v>1003</v>
      </c>
      <c r="T10" s="5">
        <f>T14</f>
        <v>2.5688294224739075E-2</v>
      </c>
      <c r="V10" s="4" t="s">
        <v>1003</v>
      </c>
      <c r="W10" s="5">
        <f>W14</f>
        <v>0.99163119991779325</v>
      </c>
    </row>
    <row r="11" spans="1:23" x14ac:dyDescent="0.2">
      <c r="A11" s="2"/>
      <c r="G11" s="4" t="s">
        <v>1004</v>
      </c>
      <c r="H11" s="5">
        <f>SUM(H9:H10)</f>
        <v>1.0000000000000007</v>
      </c>
      <c r="J11" s="4" t="s">
        <v>1004</v>
      </c>
      <c r="K11" s="5">
        <f>SUM(K9:K10)</f>
        <v>1.0000000000000004</v>
      </c>
      <c r="M11" s="4" t="s">
        <v>1004</v>
      </c>
      <c r="N11" s="5">
        <f>SUM(N9:N10)</f>
        <v>1.0000000000000004</v>
      </c>
      <c r="P11" s="4" t="s">
        <v>1004</v>
      </c>
      <c r="Q11" s="5">
        <f>SUM(Q9:Q10)</f>
        <v>1.0000000000000004</v>
      </c>
      <c r="S11" s="4" t="s">
        <v>1004</v>
      </c>
      <c r="T11" s="5">
        <f>SUM(T9:T10)</f>
        <v>1.0000000000000007</v>
      </c>
      <c r="V11" s="4" t="s">
        <v>1004</v>
      </c>
      <c r="W11" s="5">
        <f>SUM(W9:W10)</f>
        <v>1</v>
      </c>
    </row>
    <row r="13" spans="1:23" x14ac:dyDescent="0.2">
      <c r="A13" s="3" t="s">
        <v>0</v>
      </c>
      <c r="B13" s="3" t="s">
        <v>3</v>
      </c>
      <c r="C13" s="3" t="s">
        <v>1</v>
      </c>
      <c r="D13" s="3" t="s">
        <v>2</v>
      </c>
      <c r="E13" s="3" t="s">
        <v>1050</v>
      </c>
      <c r="G13" s="2" t="s">
        <v>994</v>
      </c>
      <c r="H13" s="2" t="s">
        <v>995</v>
      </c>
      <c r="J13" s="2" t="s">
        <v>994</v>
      </c>
      <c r="K13" s="2" t="s">
        <v>995</v>
      </c>
      <c r="M13" s="2" t="s">
        <v>994</v>
      </c>
      <c r="N13" s="2" t="s">
        <v>995</v>
      </c>
      <c r="P13" s="2" t="s">
        <v>994</v>
      </c>
      <c r="Q13" s="2" t="s">
        <v>995</v>
      </c>
      <c r="S13" s="2" t="s">
        <v>994</v>
      </c>
      <c r="T13" s="2" t="s">
        <v>995</v>
      </c>
      <c r="V13" s="2" t="s">
        <v>994</v>
      </c>
      <c r="W13" s="2" t="s">
        <v>995</v>
      </c>
    </row>
    <row r="14" spans="1:23" x14ac:dyDescent="0.2">
      <c r="A14" s="2"/>
      <c r="B14" s="2"/>
      <c r="C14" s="2"/>
      <c r="D14" t="s">
        <v>993</v>
      </c>
      <c r="E14">
        <v>1</v>
      </c>
      <c r="G14" s="7">
        <f>C5-SUMPRODUCT(G15:G532,E15:E532)</f>
        <v>4546.089918255806</v>
      </c>
      <c r="H14">
        <f>G14*E14/$C$5</f>
        <v>4.5460899182558058E-2</v>
      </c>
      <c r="J14" s="7">
        <f>C5-SUMPRODUCT(J15:J532,E15:E532)</f>
        <v>3374.7796349525452</v>
      </c>
      <c r="K14">
        <f>J14*E14/$C$5</f>
        <v>3.3747796349525454E-2</v>
      </c>
      <c r="M14" s="7">
        <f>C5-SUMPRODUCT(M15:M532,E15:E532)</f>
        <v>5379.3699417114258</v>
      </c>
      <c r="N14">
        <f>M14*E14/$C$5</f>
        <v>5.379369941711426E-2</v>
      </c>
      <c r="P14" s="7">
        <f>C5-SUMPRODUCT(P15:P532,E15:E532)</f>
        <v>210.44952201843262</v>
      </c>
      <c r="Q14">
        <f>P14*E14/$C$5</f>
        <v>2.1044952201843261E-3</v>
      </c>
      <c r="S14" s="7">
        <f>C5-SUMPRODUCT(S15:S532,E15:E532)</f>
        <v>2568.8294224739075</v>
      </c>
      <c r="T14">
        <f>S14*E14/$C$5</f>
        <v>2.5688294224739075E-2</v>
      </c>
      <c r="V14" s="7">
        <f>C5-SUMPRODUCT(V15:V532,E15:E532)</f>
        <v>99163.119991779327</v>
      </c>
      <c r="W14">
        <f>V14*E14/$C$5</f>
        <v>0.99163119991779325</v>
      </c>
    </row>
    <row r="15" spans="1:23" x14ac:dyDescent="0.2">
      <c r="A15">
        <v>10104</v>
      </c>
      <c r="B15" t="s">
        <v>4</v>
      </c>
      <c r="C15">
        <v>8045</v>
      </c>
      <c r="D15" t="s">
        <v>5</v>
      </c>
      <c r="E15" s="6">
        <v>166.63999938964844</v>
      </c>
      <c r="G15">
        <v>3</v>
      </c>
      <c r="H15">
        <f>G15*E15/$C$5</f>
        <v>4.999199981689453E-3</v>
      </c>
      <c r="J15">
        <v>4</v>
      </c>
      <c r="K15">
        <f>J15*E15/$C$5</f>
        <v>6.6655999755859379E-3</v>
      </c>
      <c r="M15">
        <v>1</v>
      </c>
      <c r="N15">
        <f>M15*E15/$C$5</f>
        <v>1.6663999938964845E-3</v>
      </c>
      <c r="P15">
        <v>0</v>
      </c>
      <c r="Q15">
        <f>P15*E15/$C$5</f>
        <v>0</v>
      </c>
      <c r="S15">
        <v>3</v>
      </c>
      <c r="T15">
        <f>S15*E15/$C$5</f>
        <v>4.999199981689453E-3</v>
      </c>
      <c r="V15">
        <f>_xlfn.XLOOKUP(B15,[1]Sheet1!$B:$B,[1]Sheet1!$C:$C,0,0,1)</f>
        <v>0</v>
      </c>
      <c r="W15">
        <f>V15*E15/$C$5</f>
        <v>0</v>
      </c>
    </row>
    <row r="16" spans="1:23" x14ac:dyDescent="0.2">
      <c r="A16">
        <v>10107</v>
      </c>
      <c r="B16" t="s">
        <v>6</v>
      </c>
      <c r="C16">
        <v>8048</v>
      </c>
      <c r="D16" t="s">
        <v>7</v>
      </c>
      <c r="E16" s="6">
        <v>421.5</v>
      </c>
      <c r="G16">
        <v>1</v>
      </c>
      <c r="H16">
        <f t="shared" ref="H16:H79" si="0">G16*E16/$C$5</f>
        <v>4.215E-3</v>
      </c>
      <c r="J16">
        <v>0</v>
      </c>
      <c r="K16">
        <f t="shared" ref="K16:K79" si="1">J16*E16/$C$5</f>
        <v>0</v>
      </c>
      <c r="M16">
        <v>1</v>
      </c>
      <c r="N16">
        <f t="shared" ref="N16:N79" si="2">M16*E16/$C$5</f>
        <v>4.215E-3</v>
      </c>
      <c r="P16">
        <v>0</v>
      </c>
      <c r="Q16">
        <f t="shared" ref="Q16:Q79" si="3">P16*E16/$C$5</f>
        <v>0</v>
      </c>
      <c r="S16">
        <v>0</v>
      </c>
      <c r="T16">
        <f t="shared" ref="T16:T79" si="4">S16*E16/$C$5</f>
        <v>0</v>
      </c>
      <c r="V16">
        <f>_xlfn.XLOOKUP(B16,[1]Sheet1!$B:$B,[1]Sheet1!$C:$C,0,0,1)</f>
        <v>0</v>
      </c>
      <c r="W16">
        <f t="shared" ref="W16:W79" si="5">V16*E16/$C$5</f>
        <v>0</v>
      </c>
    </row>
    <row r="17" spans="1:23" x14ac:dyDescent="0.2">
      <c r="A17">
        <v>10138</v>
      </c>
      <c r="B17" t="s">
        <v>8</v>
      </c>
      <c r="C17">
        <v>8087</v>
      </c>
      <c r="D17" t="s">
        <v>9</v>
      </c>
      <c r="E17" s="6">
        <v>113.08999633789062</v>
      </c>
      <c r="G17">
        <v>0</v>
      </c>
      <c r="H17">
        <f t="shared" si="0"/>
        <v>0</v>
      </c>
      <c r="J17">
        <v>0</v>
      </c>
      <c r="K17">
        <f t="shared" si="1"/>
        <v>0</v>
      </c>
      <c r="M17">
        <v>2</v>
      </c>
      <c r="N17">
        <f t="shared" si="2"/>
        <v>2.2617999267578125E-3</v>
      </c>
      <c r="P17">
        <v>0</v>
      </c>
      <c r="Q17">
        <f t="shared" si="3"/>
        <v>0</v>
      </c>
      <c r="S17">
        <v>0</v>
      </c>
      <c r="T17">
        <f t="shared" si="4"/>
        <v>0</v>
      </c>
      <c r="V17">
        <f>_xlfn.XLOOKUP(B17,[1]Sheet1!$B:$B,[1]Sheet1!$C:$C,0,0,1)</f>
        <v>0</v>
      </c>
      <c r="W17">
        <f t="shared" si="5"/>
        <v>0</v>
      </c>
    </row>
    <row r="18" spans="1:23" x14ac:dyDescent="0.2">
      <c r="A18">
        <v>10145</v>
      </c>
      <c r="B18" t="s">
        <v>10</v>
      </c>
      <c r="C18">
        <v>22168</v>
      </c>
      <c r="D18" t="s">
        <v>11</v>
      </c>
      <c r="E18" s="6">
        <v>225.88999938964844</v>
      </c>
      <c r="G18">
        <v>0</v>
      </c>
      <c r="H18">
        <f t="shared" si="0"/>
        <v>0</v>
      </c>
      <c r="J18">
        <v>1</v>
      </c>
      <c r="K18">
        <f t="shared" si="1"/>
        <v>2.2588999938964842E-3</v>
      </c>
      <c r="M18">
        <v>1</v>
      </c>
      <c r="N18">
        <f t="shared" si="2"/>
        <v>2.2588999938964842E-3</v>
      </c>
      <c r="P18">
        <v>5</v>
      </c>
      <c r="Q18">
        <f t="shared" si="3"/>
        <v>1.1294499969482423E-2</v>
      </c>
      <c r="S18">
        <v>1</v>
      </c>
      <c r="T18">
        <f t="shared" si="4"/>
        <v>2.2588999938964842E-3</v>
      </c>
      <c r="V18">
        <f>_xlfn.XLOOKUP(B18,[1]Sheet1!$B:$B,[1]Sheet1!$C:$C,0,0,1)</f>
        <v>0</v>
      </c>
      <c r="W18">
        <f t="shared" si="5"/>
        <v>0</v>
      </c>
    </row>
    <row r="19" spans="1:23" x14ac:dyDescent="0.2">
      <c r="A19">
        <v>10516</v>
      </c>
      <c r="B19" t="s">
        <v>12</v>
      </c>
      <c r="C19">
        <v>20207</v>
      </c>
      <c r="D19" t="s">
        <v>13</v>
      </c>
      <c r="E19" s="6">
        <v>50.520000457763672</v>
      </c>
      <c r="G19">
        <v>0</v>
      </c>
      <c r="H19">
        <f>G19*E19/$C$5</f>
        <v>0</v>
      </c>
      <c r="J19">
        <v>0</v>
      </c>
      <c r="K19">
        <f t="shared" si="1"/>
        <v>0</v>
      </c>
      <c r="M19">
        <v>7</v>
      </c>
      <c r="N19">
        <f t="shared" si="2"/>
        <v>3.5364000320434572E-3</v>
      </c>
      <c r="P19">
        <v>0</v>
      </c>
      <c r="Q19">
        <f t="shared" si="3"/>
        <v>0</v>
      </c>
      <c r="S19">
        <v>0</v>
      </c>
      <c r="T19">
        <f t="shared" si="4"/>
        <v>0</v>
      </c>
      <c r="V19">
        <f>_xlfn.XLOOKUP(B19,[1]Sheet1!$B:$B,[1]Sheet1!$C:$C,0,0,1)</f>
        <v>0</v>
      </c>
      <c r="W19">
        <f t="shared" si="5"/>
        <v>0</v>
      </c>
    </row>
    <row r="20" spans="1:23" x14ac:dyDescent="0.2">
      <c r="A20">
        <v>10696</v>
      </c>
      <c r="B20" t="s">
        <v>14</v>
      </c>
      <c r="C20">
        <v>8598</v>
      </c>
      <c r="D20" t="s">
        <v>15</v>
      </c>
      <c r="E20" s="6">
        <v>205.41999816894531</v>
      </c>
      <c r="G20">
        <v>2</v>
      </c>
      <c r="H20">
        <f>G20*E20/$C$5</f>
        <v>4.1083999633789066E-3</v>
      </c>
      <c r="J20">
        <v>0</v>
      </c>
      <c r="K20">
        <f t="shared" si="1"/>
        <v>0</v>
      </c>
      <c r="M20">
        <v>1</v>
      </c>
      <c r="N20">
        <f t="shared" si="2"/>
        <v>2.0541999816894533E-3</v>
      </c>
      <c r="P20">
        <v>0</v>
      </c>
      <c r="Q20">
        <f t="shared" si="3"/>
        <v>0</v>
      </c>
      <c r="S20">
        <v>0</v>
      </c>
      <c r="T20">
        <f t="shared" si="4"/>
        <v>0</v>
      </c>
      <c r="V20">
        <f>_xlfn.XLOOKUP(B20,[1]Sheet1!$B:$B,[1]Sheet1!$C:$C,0,0,1)</f>
        <v>0</v>
      </c>
      <c r="W20">
        <f t="shared" si="5"/>
        <v>0</v>
      </c>
    </row>
    <row r="21" spans="1:23" x14ac:dyDescent="0.2">
      <c r="A21">
        <v>10866</v>
      </c>
      <c r="B21" t="s">
        <v>16</v>
      </c>
      <c r="C21">
        <v>20342</v>
      </c>
      <c r="D21" t="s">
        <v>17</v>
      </c>
      <c r="E21" s="6">
        <v>23.159999847412109</v>
      </c>
      <c r="G21">
        <v>1</v>
      </c>
      <c r="H21">
        <f t="shared" si="0"/>
        <v>2.3159999847412109E-4</v>
      </c>
      <c r="J21">
        <v>0</v>
      </c>
      <c r="K21">
        <f t="shared" si="1"/>
        <v>0</v>
      </c>
      <c r="M21">
        <v>0</v>
      </c>
      <c r="N21">
        <f t="shared" si="2"/>
        <v>0</v>
      </c>
      <c r="P21">
        <v>0</v>
      </c>
      <c r="Q21">
        <f t="shared" si="3"/>
        <v>0</v>
      </c>
      <c r="S21">
        <v>0</v>
      </c>
      <c r="T21">
        <f t="shared" si="4"/>
        <v>0</v>
      </c>
      <c r="V21">
        <f>_xlfn.XLOOKUP(B21,[1]Sheet1!$B:$B,[1]Sheet1!$C:$C,0,0,1)</f>
        <v>0</v>
      </c>
      <c r="W21">
        <f t="shared" si="5"/>
        <v>0</v>
      </c>
    </row>
    <row r="22" spans="1:23" x14ac:dyDescent="0.2">
      <c r="A22">
        <v>11308</v>
      </c>
      <c r="B22" t="s">
        <v>18</v>
      </c>
      <c r="C22">
        <v>20468</v>
      </c>
      <c r="D22" t="s">
        <v>19</v>
      </c>
      <c r="E22" s="6">
        <v>62.259998321533203</v>
      </c>
      <c r="G22">
        <v>0</v>
      </c>
      <c r="H22">
        <f t="shared" si="0"/>
        <v>0</v>
      </c>
      <c r="J22">
        <v>12</v>
      </c>
      <c r="K22">
        <f t="shared" si="1"/>
        <v>7.4711997985839841E-3</v>
      </c>
      <c r="M22">
        <v>5</v>
      </c>
      <c r="N22">
        <f t="shared" si="2"/>
        <v>3.1129999160766602E-3</v>
      </c>
      <c r="P22">
        <v>0</v>
      </c>
      <c r="Q22">
        <f t="shared" si="3"/>
        <v>0</v>
      </c>
      <c r="S22">
        <v>19</v>
      </c>
      <c r="T22">
        <f t="shared" si="4"/>
        <v>1.1829399681091309E-2</v>
      </c>
      <c r="V22">
        <f>_xlfn.XLOOKUP(B22,[1]Sheet1!$B:$B,[1]Sheet1!$C:$C,0,0,1)</f>
        <v>0</v>
      </c>
      <c r="W22">
        <f t="shared" si="5"/>
        <v>0</v>
      </c>
    </row>
    <row r="23" spans="1:23" x14ac:dyDescent="0.2">
      <c r="A23">
        <v>11403</v>
      </c>
      <c r="B23" t="s">
        <v>20</v>
      </c>
      <c r="C23">
        <v>9245</v>
      </c>
      <c r="D23" t="s">
        <v>21</v>
      </c>
      <c r="E23" s="6">
        <v>300.45999145507812</v>
      </c>
      <c r="G23">
        <v>1</v>
      </c>
      <c r="H23">
        <f t="shared" si="0"/>
        <v>3.0045999145507812E-3</v>
      </c>
      <c r="J23">
        <v>2</v>
      </c>
      <c r="K23">
        <f t="shared" si="1"/>
        <v>6.0091998291015624E-3</v>
      </c>
      <c r="M23">
        <v>0</v>
      </c>
      <c r="N23">
        <f t="shared" si="2"/>
        <v>0</v>
      </c>
      <c r="P23">
        <v>0</v>
      </c>
      <c r="Q23">
        <f t="shared" si="3"/>
        <v>0</v>
      </c>
      <c r="S23">
        <v>1</v>
      </c>
      <c r="T23">
        <f t="shared" si="4"/>
        <v>3.0045999145507812E-3</v>
      </c>
      <c r="V23">
        <f>_xlfn.XLOOKUP(B23,[1]Sheet1!$B:$B,[1]Sheet1!$C:$C,0,0,1)</f>
        <v>0</v>
      </c>
      <c r="W23">
        <f t="shared" si="5"/>
        <v>0</v>
      </c>
    </row>
    <row r="24" spans="1:23" x14ac:dyDescent="0.2">
      <c r="A24">
        <v>11404</v>
      </c>
      <c r="B24" t="s">
        <v>22</v>
      </c>
      <c r="C24">
        <v>20499</v>
      </c>
      <c r="D24" t="s">
        <v>23</v>
      </c>
      <c r="E24" s="6">
        <v>89.230003356933594</v>
      </c>
      <c r="G24">
        <v>0</v>
      </c>
      <c r="H24">
        <f t="shared" si="0"/>
        <v>0</v>
      </c>
      <c r="J24">
        <v>10</v>
      </c>
      <c r="K24">
        <f t="shared" si="1"/>
        <v>8.9230003356933589E-3</v>
      </c>
      <c r="M24">
        <v>3</v>
      </c>
      <c r="N24">
        <f t="shared" si="2"/>
        <v>2.6769001007080078E-3</v>
      </c>
      <c r="P24">
        <v>0</v>
      </c>
      <c r="Q24">
        <f t="shared" si="3"/>
        <v>0</v>
      </c>
      <c r="S24">
        <v>14</v>
      </c>
      <c r="T24">
        <f t="shared" si="4"/>
        <v>1.2492200469970703E-2</v>
      </c>
      <c r="V24">
        <f>_xlfn.XLOOKUP(B24,[1]Sheet1!$B:$B,[1]Sheet1!$C:$C,0,0,1)</f>
        <v>0</v>
      </c>
      <c r="W24">
        <f t="shared" si="5"/>
        <v>0</v>
      </c>
    </row>
    <row r="25" spans="1:23" x14ac:dyDescent="0.2">
      <c r="A25">
        <v>11533</v>
      </c>
      <c r="B25" t="s">
        <v>24</v>
      </c>
      <c r="C25">
        <v>9360</v>
      </c>
      <c r="D25" t="s">
        <v>25</v>
      </c>
      <c r="E25" s="6">
        <v>1990.9300537109375</v>
      </c>
      <c r="G25">
        <v>0</v>
      </c>
      <c r="H25">
        <f t="shared" si="0"/>
        <v>0</v>
      </c>
      <c r="J25">
        <v>0</v>
      </c>
      <c r="K25">
        <f t="shared" si="1"/>
        <v>0</v>
      </c>
      <c r="M25">
        <v>0</v>
      </c>
      <c r="N25">
        <f t="shared" si="2"/>
        <v>0</v>
      </c>
      <c r="P25">
        <v>0</v>
      </c>
      <c r="Q25">
        <f t="shared" si="3"/>
        <v>0</v>
      </c>
      <c r="S25">
        <v>0</v>
      </c>
      <c r="T25">
        <f t="shared" si="4"/>
        <v>0</v>
      </c>
      <c r="V25">
        <f>_xlfn.XLOOKUP(B25,[1]Sheet1!$B:$B,[1]Sheet1!$C:$C,0,0,1)</f>
        <v>0</v>
      </c>
      <c r="W25">
        <f t="shared" si="5"/>
        <v>0</v>
      </c>
    </row>
    <row r="26" spans="1:23" x14ac:dyDescent="0.2">
      <c r="A26">
        <v>11618</v>
      </c>
      <c r="B26" t="s">
        <v>26</v>
      </c>
      <c r="C26">
        <v>9440</v>
      </c>
      <c r="D26" t="s">
        <v>27</v>
      </c>
      <c r="E26" s="6">
        <v>71.910003662109375</v>
      </c>
      <c r="G26">
        <v>11</v>
      </c>
      <c r="H26">
        <f t="shared" si="0"/>
        <v>7.9101004028320314E-3</v>
      </c>
      <c r="J26">
        <v>0</v>
      </c>
      <c r="K26">
        <f t="shared" si="1"/>
        <v>0</v>
      </c>
      <c r="M26">
        <v>3</v>
      </c>
      <c r="N26">
        <f t="shared" si="2"/>
        <v>2.1573001098632812E-3</v>
      </c>
      <c r="P26">
        <v>0</v>
      </c>
      <c r="Q26">
        <f t="shared" si="3"/>
        <v>0</v>
      </c>
      <c r="S26">
        <v>0</v>
      </c>
      <c r="T26">
        <f t="shared" si="4"/>
        <v>0</v>
      </c>
      <c r="V26">
        <f>_xlfn.XLOOKUP(B26,[1]Sheet1!$B:$B,[1]Sheet1!$C:$C,0,0,1)</f>
        <v>0</v>
      </c>
      <c r="W26">
        <f t="shared" si="5"/>
        <v>0</v>
      </c>
    </row>
    <row r="27" spans="1:23" x14ac:dyDescent="0.2">
      <c r="A27">
        <v>11674</v>
      </c>
      <c r="B27" t="s">
        <v>28</v>
      </c>
      <c r="C27">
        <v>20574</v>
      </c>
      <c r="D27" t="s">
        <v>29</v>
      </c>
      <c r="E27" s="6">
        <v>120.75</v>
      </c>
      <c r="G27">
        <v>0</v>
      </c>
      <c r="H27">
        <f t="shared" si="0"/>
        <v>0</v>
      </c>
      <c r="J27">
        <v>0</v>
      </c>
      <c r="K27">
        <f t="shared" si="1"/>
        <v>0</v>
      </c>
      <c r="M27">
        <v>2</v>
      </c>
      <c r="N27">
        <f t="shared" si="2"/>
        <v>2.415E-3</v>
      </c>
      <c r="P27">
        <v>0</v>
      </c>
      <c r="Q27">
        <f t="shared" si="3"/>
        <v>0</v>
      </c>
      <c r="S27">
        <v>0</v>
      </c>
      <c r="T27">
        <f t="shared" si="4"/>
        <v>0</v>
      </c>
      <c r="V27">
        <f>_xlfn.XLOOKUP(B27,[1]Sheet1!$B:$B,[1]Sheet1!$C:$C,0,0,1)</f>
        <v>0</v>
      </c>
      <c r="W27">
        <f t="shared" si="5"/>
        <v>0</v>
      </c>
    </row>
    <row r="28" spans="1:23" x14ac:dyDescent="0.2">
      <c r="A28">
        <v>11762</v>
      </c>
      <c r="B28" t="s">
        <v>30</v>
      </c>
      <c r="C28">
        <v>20627</v>
      </c>
      <c r="D28" t="s">
        <v>31</v>
      </c>
      <c r="E28" s="6">
        <v>331.8699951171875</v>
      </c>
      <c r="G28">
        <v>1</v>
      </c>
      <c r="H28">
        <f t="shared" si="0"/>
        <v>3.3186999511718748E-3</v>
      </c>
      <c r="J28">
        <v>1</v>
      </c>
      <c r="K28">
        <f t="shared" si="1"/>
        <v>3.3186999511718748E-3</v>
      </c>
      <c r="M28">
        <v>1</v>
      </c>
      <c r="N28">
        <f t="shared" si="2"/>
        <v>3.3186999511718748E-3</v>
      </c>
      <c r="P28">
        <v>0</v>
      </c>
      <c r="Q28">
        <f t="shared" si="3"/>
        <v>0</v>
      </c>
      <c r="S28">
        <v>1</v>
      </c>
      <c r="T28">
        <f t="shared" si="4"/>
        <v>3.3186999511718748E-3</v>
      </c>
      <c r="V28">
        <f>_xlfn.XLOOKUP(B28,[1]Sheet1!$B:$B,[1]Sheet1!$C:$C,0,0,1)</f>
        <v>0</v>
      </c>
      <c r="W28">
        <f t="shared" si="5"/>
        <v>0</v>
      </c>
    </row>
    <row r="29" spans="1:23" x14ac:dyDescent="0.2">
      <c r="A29">
        <v>11850</v>
      </c>
      <c r="B29" t="s">
        <v>32</v>
      </c>
      <c r="C29">
        <v>20678</v>
      </c>
      <c r="D29" t="s">
        <v>33</v>
      </c>
      <c r="E29" s="6">
        <v>107.56999969482422</v>
      </c>
      <c r="G29">
        <v>0</v>
      </c>
      <c r="H29">
        <f t="shared" si="0"/>
        <v>0</v>
      </c>
      <c r="J29">
        <v>0</v>
      </c>
      <c r="K29">
        <f t="shared" si="1"/>
        <v>0</v>
      </c>
      <c r="M29">
        <v>3</v>
      </c>
      <c r="N29">
        <f t="shared" si="2"/>
        <v>3.2270999908447263E-3</v>
      </c>
      <c r="P29">
        <v>0</v>
      </c>
      <c r="Q29">
        <f t="shared" si="3"/>
        <v>0</v>
      </c>
      <c r="S29">
        <v>0</v>
      </c>
      <c r="T29">
        <f t="shared" si="4"/>
        <v>0</v>
      </c>
      <c r="V29">
        <f>_xlfn.XLOOKUP(B29,[1]Sheet1!$B:$B,[1]Sheet1!$C:$C,0,0,1)</f>
        <v>0</v>
      </c>
      <c r="W29">
        <f t="shared" si="5"/>
        <v>0</v>
      </c>
    </row>
    <row r="30" spans="1:23" x14ac:dyDescent="0.2">
      <c r="A30">
        <v>11891</v>
      </c>
      <c r="B30" t="s">
        <v>34</v>
      </c>
      <c r="C30">
        <v>9764</v>
      </c>
      <c r="D30" t="s">
        <v>35</v>
      </c>
      <c r="E30" s="6">
        <v>34.650001525878906</v>
      </c>
      <c r="G30">
        <v>0</v>
      </c>
      <c r="H30">
        <f t="shared" si="0"/>
        <v>0</v>
      </c>
      <c r="J30">
        <v>4</v>
      </c>
      <c r="K30">
        <f t="shared" si="1"/>
        <v>1.3860000610351562E-3</v>
      </c>
      <c r="M30">
        <v>6</v>
      </c>
      <c r="N30">
        <f t="shared" si="2"/>
        <v>2.0790000915527343E-3</v>
      </c>
      <c r="P30">
        <v>0</v>
      </c>
      <c r="Q30">
        <f t="shared" si="3"/>
        <v>0</v>
      </c>
      <c r="S30">
        <v>2</v>
      </c>
      <c r="T30">
        <f t="shared" si="4"/>
        <v>6.9300003051757809E-4</v>
      </c>
      <c r="V30">
        <f>_xlfn.XLOOKUP(B30,[1]Sheet1!$B:$B,[1]Sheet1!$C:$C,0,0,1)</f>
        <v>0</v>
      </c>
      <c r="W30">
        <f t="shared" si="5"/>
        <v>0</v>
      </c>
    </row>
    <row r="31" spans="1:23" x14ac:dyDescent="0.2">
      <c r="A31">
        <v>11955</v>
      </c>
      <c r="B31" t="s">
        <v>36</v>
      </c>
      <c r="C31">
        <v>9804</v>
      </c>
      <c r="D31" t="s">
        <v>37</v>
      </c>
      <c r="E31" s="6">
        <v>201.78999328613281</v>
      </c>
      <c r="G31">
        <v>1</v>
      </c>
      <c r="H31">
        <f t="shared" si="0"/>
        <v>2.0178999328613282E-3</v>
      </c>
      <c r="J31">
        <v>2</v>
      </c>
      <c r="K31">
        <f t="shared" si="1"/>
        <v>4.0357998657226564E-3</v>
      </c>
      <c r="M31">
        <v>1</v>
      </c>
      <c r="N31">
        <f t="shared" si="2"/>
        <v>2.0178999328613282E-3</v>
      </c>
      <c r="P31">
        <v>0</v>
      </c>
      <c r="Q31">
        <f t="shared" si="3"/>
        <v>0</v>
      </c>
      <c r="S31">
        <v>1</v>
      </c>
      <c r="T31">
        <f t="shared" si="4"/>
        <v>2.0178999328613282E-3</v>
      </c>
      <c r="V31">
        <f>_xlfn.XLOOKUP(B31,[1]Sheet1!$B:$B,[1]Sheet1!$C:$C,0,0,1)</f>
        <v>0</v>
      </c>
      <c r="W31">
        <f t="shared" si="5"/>
        <v>0</v>
      </c>
    </row>
    <row r="32" spans="1:23" x14ac:dyDescent="0.2">
      <c r="A32">
        <v>11990</v>
      </c>
      <c r="B32" t="s">
        <v>1006</v>
      </c>
      <c r="C32">
        <v>53463</v>
      </c>
      <c r="D32" t="s">
        <v>1007</v>
      </c>
      <c r="E32" s="6">
        <v>147.91000366210938</v>
      </c>
      <c r="G32">
        <v>6</v>
      </c>
      <c r="H32">
        <f t="shared" si="0"/>
        <v>8.8746002197265632E-3</v>
      </c>
      <c r="J32">
        <v>0</v>
      </c>
      <c r="K32">
        <f t="shared" si="1"/>
        <v>0</v>
      </c>
      <c r="M32">
        <v>1</v>
      </c>
      <c r="N32">
        <f t="shared" si="2"/>
        <v>1.4791000366210936E-3</v>
      </c>
      <c r="P32">
        <v>5</v>
      </c>
      <c r="Q32">
        <f t="shared" si="3"/>
        <v>7.3955001831054685E-3</v>
      </c>
      <c r="S32">
        <v>0</v>
      </c>
      <c r="T32">
        <f t="shared" si="4"/>
        <v>0</v>
      </c>
      <c r="V32">
        <f>_xlfn.XLOOKUP(B32,[1]Sheet1!$B:$B,[1]Sheet1!$C:$C,0,0,1)</f>
        <v>0</v>
      </c>
      <c r="W32">
        <f t="shared" si="5"/>
        <v>0</v>
      </c>
    </row>
    <row r="33" spans="1:23" x14ac:dyDescent="0.2">
      <c r="A33">
        <v>12052</v>
      </c>
      <c r="B33" t="s">
        <v>38</v>
      </c>
      <c r="C33">
        <v>20791</v>
      </c>
      <c r="D33" t="s">
        <v>39</v>
      </c>
      <c r="E33" s="6">
        <v>263.489990234375</v>
      </c>
      <c r="G33">
        <v>0</v>
      </c>
      <c r="H33">
        <f t="shared" si="0"/>
        <v>0</v>
      </c>
      <c r="J33">
        <v>3</v>
      </c>
      <c r="K33">
        <f t="shared" si="1"/>
        <v>7.9046997070312507E-3</v>
      </c>
      <c r="M33">
        <v>1</v>
      </c>
      <c r="N33">
        <f t="shared" si="2"/>
        <v>2.6348999023437501E-3</v>
      </c>
      <c r="P33">
        <v>0</v>
      </c>
      <c r="Q33">
        <f t="shared" si="3"/>
        <v>0</v>
      </c>
      <c r="S33">
        <v>1</v>
      </c>
      <c r="T33">
        <f t="shared" si="4"/>
        <v>2.6348999023437501E-3</v>
      </c>
      <c r="V33">
        <f>_xlfn.XLOOKUP(B33,[1]Sheet1!$B:$B,[1]Sheet1!$C:$C,0,0,1)</f>
        <v>0</v>
      </c>
      <c r="W33">
        <f t="shared" si="5"/>
        <v>0</v>
      </c>
    </row>
    <row r="34" spans="1:23" x14ac:dyDescent="0.2">
      <c r="A34">
        <v>12060</v>
      </c>
      <c r="B34" t="s">
        <v>40</v>
      </c>
      <c r="C34">
        <v>20792</v>
      </c>
      <c r="D34" t="s">
        <v>41</v>
      </c>
      <c r="E34" s="6">
        <v>166.78999328613281</v>
      </c>
      <c r="G34">
        <v>5</v>
      </c>
      <c r="H34">
        <f t="shared" si="0"/>
        <v>8.3394996643066412E-3</v>
      </c>
      <c r="J34">
        <v>0</v>
      </c>
      <c r="K34">
        <f t="shared" si="1"/>
        <v>0</v>
      </c>
      <c r="M34">
        <v>2</v>
      </c>
      <c r="N34">
        <f t="shared" si="2"/>
        <v>3.3357998657226563E-3</v>
      </c>
      <c r="P34">
        <v>0</v>
      </c>
      <c r="Q34">
        <f t="shared" si="3"/>
        <v>0</v>
      </c>
      <c r="S34">
        <v>0</v>
      </c>
      <c r="T34">
        <f t="shared" si="4"/>
        <v>0</v>
      </c>
      <c r="V34">
        <f>_xlfn.XLOOKUP(B34,[1]Sheet1!$B:$B,[1]Sheet1!$C:$C,0,0,1)</f>
        <v>0</v>
      </c>
      <c r="W34">
        <f t="shared" si="5"/>
        <v>0</v>
      </c>
    </row>
    <row r="35" spans="1:23" x14ac:dyDescent="0.2">
      <c r="A35">
        <v>12062</v>
      </c>
      <c r="B35" t="s">
        <v>42</v>
      </c>
      <c r="C35">
        <v>9848</v>
      </c>
      <c r="D35" t="s">
        <v>1008</v>
      </c>
      <c r="E35" s="6">
        <v>229.32000732421875</v>
      </c>
      <c r="G35">
        <v>0</v>
      </c>
      <c r="H35">
        <f t="shared" si="0"/>
        <v>0</v>
      </c>
      <c r="J35">
        <v>1</v>
      </c>
      <c r="K35">
        <f t="shared" si="1"/>
        <v>2.2932000732421875E-3</v>
      </c>
      <c r="M35">
        <v>1</v>
      </c>
      <c r="N35">
        <f t="shared" si="2"/>
        <v>2.2932000732421875E-3</v>
      </c>
      <c r="P35">
        <v>0</v>
      </c>
      <c r="Q35">
        <f t="shared" si="3"/>
        <v>0</v>
      </c>
      <c r="S35">
        <v>2</v>
      </c>
      <c r="T35">
        <f t="shared" si="4"/>
        <v>4.586400146484375E-3</v>
      </c>
      <c r="V35">
        <f>_xlfn.XLOOKUP(B35,[1]Sheet1!$B:$B,[1]Sheet1!$C:$C,0,0,1)</f>
        <v>0</v>
      </c>
      <c r="W35">
        <f t="shared" si="5"/>
        <v>0</v>
      </c>
    </row>
    <row r="36" spans="1:23" x14ac:dyDescent="0.2">
      <c r="A36">
        <v>12084</v>
      </c>
      <c r="B36" t="s">
        <v>43</v>
      </c>
      <c r="C36">
        <v>53494</v>
      </c>
      <c r="D36" t="s">
        <v>44</v>
      </c>
      <c r="E36" s="6">
        <v>207.85000610351562</v>
      </c>
      <c r="G36">
        <v>1</v>
      </c>
      <c r="H36">
        <f t="shared" si="0"/>
        <v>2.0785000610351561E-3</v>
      </c>
      <c r="J36">
        <v>2</v>
      </c>
      <c r="K36">
        <f t="shared" si="1"/>
        <v>4.1570001220703123E-3</v>
      </c>
      <c r="M36">
        <v>1</v>
      </c>
      <c r="N36">
        <f t="shared" si="2"/>
        <v>2.0785000610351561E-3</v>
      </c>
      <c r="P36">
        <v>0</v>
      </c>
      <c r="Q36">
        <f t="shared" si="3"/>
        <v>0</v>
      </c>
      <c r="S36">
        <v>3</v>
      </c>
      <c r="T36">
        <f t="shared" si="4"/>
        <v>6.2355001831054689E-3</v>
      </c>
      <c r="V36">
        <f>_xlfn.XLOOKUP(B36,[1]Sheet1!$B:$B,[1]Sheet1!$C:$C,0,0,1)</f>
        <v>0</v>
      </c>
      <c r="W36">
        <f t="shared" si="5"/>
        <v>0</v>
      </c>
    </row>
    <row r="37" spans="1:23" x14ac:dyDescent="0.2">
      <c r="A37">
        <v>12308</v>
      </c>
      <c r="B37" t="s">
        <v>45</v>
      </c>
      <c r="C37">
        <v>17322</v>
      </c>
      <c r="D37" t="s">
        <v>46</v>
      </c>
      <c r="E37" s="6">
        <v>342.76998901367188</v>
      </c>
      <c r="G37">
        <v>0</v>
      </c>
      <c r="H37">
        <f t="shared" si="0"/>
        <v>0</v>
      </c>
      <c r="J37">
        <v>2</v>
      </c>
      <c r="K37">
        <f t="shared" si="1"/>
        <v>6.8553997802734377E-3</v>
      </c>
      <c r="M37">
        <v>1</v>
      </c>
      <c r="N37">
        <f t="shared" si="2"/>
        <v>3.4276998901367189E-3</v>
      </c>
      <c r="P37">
        <v>0</v>
      </c>
      <c r="Q37">
        <f t="shared" si="3"/>
        <v>0</v>
      </c>
      <c r="S37">
        <v>1</v>
      </c>
      <c r="T37">
        <f t="shared" si="4"/>
        <v>3.4276998901367189E-3</v>
      </c>
      <c r="V37">
        <f>_xlfn.XLOOKUP(B37,[1]Sheet1!$B:$B,[1]Sheet1!$C:$C,0,0,1)</f>
        <v>0</v>
      </c>
      <c r="W37">
        <f t="shared" si="5"/>
        <v>0</v>
      </c>
    </row>
    <row r="38" spans="1:23" x14ac:dyDescent="0.2">
      <c r="A38">
        <v>12345</v>
      </c>
      <c r="B38" t="s">
        <v>47</v>
      </c>
      <c r="C38">
        <v>53531</v>
      </c>
      <c r="D38" t="s">
        <v>48</v>
      </c>
      <c r="E38" s="6">
        <v>74.269996643066406</v>
      </c>
      <c r="G38">
        <v>0</v>
      </c>
      <c r="H38">
        <f t="shared" si="0"/>
        <v>0</v>
      </c>
      <c r="J38">
        <v>7</v>
      </c>
      <c r="K38">
        <f t="shared" si="1"/>
        <v>5.1988997650146487E-3</v>
      </c>
      <c r="M38">
        <v>4</v>
      </c>
      <c r="N38">
        <f t="shared" si="2"/>
        <v>2.9707998657226564E-3</v>
      </c>
      <c r="P38">
        <v>0</v>
      </c>
      <c r="Q38">
        <f t="shared" si="3"/>
        <v>0</v>
      </c>
      <c r="S38">
        <v>2</v>
      </c>
      <c r="T38">
        <f t="shared" si="4"/>
        <v>1.4853999328613282E-3</v>
      </c>
      <c r="V38">
        <f>_xlfn.XLOOKUP(B38,[1]Sheet1!$B:$B,[1]Sheet1!$C:$C,0,0,1)</f>
        <v>0</v>
      </c>
      <c r="W38">
        <f t="shared" si="5"/>
        <v>0</v>
      </c>
    </row>
    <row r="39" spans="1:23" x14ac:dyDescent="0.2">
      <c r="A39">
        <v>12369</v>
      </c>
      <c r="B39" t="s">
        <v>49</v>
      </c>
      <c r="C39">
        <v>53554</v>
      </c>
      <c r="D39" t="s">
        <v>50</v>
      </c>
      <c r="E39" s="6">
        <v>53.270000457763672</v>
      </c>
      <c r="G39">
        <v>4</v>
      </c>
      <c r="H39">
        <f t="shared" si="0"/>
        <v>2.1308000183105471E-3</v>
      </c>
      <c r="J39">
        <v>0</v>
      </c>
      <c r="K39">
        <f t="shared" si="1"/>
        <v>0</v>
      </c>
      <c r="M39">
        <v>4</v>
      </c>
      <c r="N39">
        <f t="shared" si="2"/>
        <v>2.1308000183105471E-3</v>
      </c>
      <c r="P39">
        <v>14</v>
      </c>
      <c r="Q39">
        <f t="shared" si="3"/>
        <v>7.4578000640869143E-3</v>
      </c>
      <c r="S39">
        <v>0</v>
      </c>
      <c r="T39">
        <f t="shared" si="4"/>
        <v>0</v>
      </c>
      <c r="V39">
        <f>_xlfn.XLOOKUP(B39,[1]Sheet1!$B:$B,[1]Sheet1!$C:$C,0,0,1)</f>
        <v>0</v>
      </c>
      <c r="W39">
        <f t="shared" si="5"/>
        <v>0</v>
      </c>
    </row>
    <row r="40" spans="1:23" x14ac:dyDescent="0.2">
      <c r="A40">
        <v>12431</v>
      </c>
      <c r="B40" t="s">
        <v>51</v>
      </c>
      <c r="C40">
        <v>20977</v>
      </c>
      <c r="D40" t="s">
        <v>52</v>
      </c>
      <c r="E40" s="6">
        <v>369.35000610351562</v>
      </c>
      <c r="G40">
        <v>1</v>
      </c>
      <c r="H40">
        <f t="shared" si="0"/>
        <v>3.6935000610351563E-3</v>
      </c>
      <c r="J40">
        <v>0</v>
      </c>
      <c r="K40">
        <f t="shared" si="1"/>
        <v>0</v>
      </c>
      <c r="M40">
        <v>1</v>
      </c>
      <c r="N40">
        <f t="shared" si="2"/>
        <v>3.6935000610351563E-3</v>
      </c>
      <c r="P40">
        <v>0</v>
      </c>
      <c r="Q40">
        <f t="shared" si="3"/>
        <v>0</v>
      </c>
      <c r="S40">
        <v>0</v>
      </c>
      <c r="T40">
        <f t="shared" si="4"/>
        <v>0</v>
      </c>
      <c r="V40">
        <f>_xlfn.XLOOKUP(B40,[1]Sheet1!$B:$B,[1]Sheet1!$C:$C,0,0,1)</f>
        <v>0</v>
      </c>
      <c r="W40">
        <f t="shared" si="5"/>
        <v>0</v>
      </c>
    </row>
    <row r="41" spans="1:23" x14ac:dyDescent="0.2">
      <c r="A41">
        <v>12449</v>
      </c>
      <c r="B41" t="s">
        <v>1009</v>
      </c>
      <c r="C41">
        <v>53610</v>
      </c>
      <c r="D41" t="s">
        <v>1010</v>
      </c>
      <c r="E41" s="6">
        <v>338.42001342773438</v>
      </c>
      <c r="G41">
        <v>1</v>
      </c>
      <c r="H41">
        <f t="shared" si="0"/>
        <v>3.3842001342773436E-3</v>
      </c>
      <c r="J41">
        <v>0</v>
      </c>
      <c r="K41">
        <f t="shared" si="1"/>
        <v>0</v>
      </c>
      <c r="M41">
        <v>0</v>
      </c>
      <c r="N41">
        <f t="shared" si="2"/>
        <v>0</v>
      </c>
      <c r="P41">
        <v>0</v>
      </c>
      <c r="Q41">
        <f t="shared" si="3"/>
        <v>0</v>
      </c>
      <c r="S41">
        <v>0</v>
      </c>
      <c r="T41">
        <f t="shared" si="4"/>
        <v>0</v>
      </c>
      <c r="V41">
        <f>_xlfn.XLOOKUP(B41,[1]Sheet1!$B:$B,[1]Sheet1!$C:$C,0,0,1)</f>
        <v>0</v>
      </c>
      <c r="W41">
        <f t="shared" si="5"/>
        <v>0</v>
      </c>
    </row>
    <row r="42" spans="1:23" x14ac:dyDescent="0.2">
      <c r="A42">
        <v>12476</v>
      </c>
      <c r="B42" t="s">
        <v>53</v>
      </c>
      <c r="C42">
        <v>53621</v>
      </c>
      <c r="D42" t="s">
        <v>54</v>
      </c>
      <c r="E42" s="6">
        <v>178.5</v>
      </c>
      <c r="G42">
        <v>3</v>
      </c>
      <c r="H42">
        <f t="shared" si="0"/>
        <v>5.3550000000000004E-3</v>
      </c>
      <c r="J42">
        <v>1</v>
      </c>
      <c r="K42">
        <f t="shared" si="1"/>
        <v>1.7849999999999999E-3</v>
      </c>
      <c r="M42">
        <v>1</v>
      </c>
      <c r="N42">
        <f t="shared" si="2"/>
        <v>1.7849999999999999E-3</v>
      </c>
      <c r="P42">
        <v>4</v>
      </c>
      <c r="Q42">
        <f t="shared" si="3"/>
        <v>7.1399999999999996E-3</v>
      </c>
      <c r="S42">
        <v>1</v>
      </c>
      <c r="T42">
        <f t="shared" si="4"/>
        <v>1.7849999999999999E-3</v>
      </c>
      <c r="V42">
        <f>_xlfn.XLOOKUP(B42,[1]Sheet1!$B:$B,[1]Sheet1!$C:$C,0,0,1)</f>
        <v>0</v>
      </c>
      <c r="W42">
        <f t="shared" si="5"/>
        <v>0</v>
      </c>
    </row>
    <row r="43" spans="1:23" x14ac:dyDescent="0.2">
      <c r="A43">
        <v>12490</v>
      </c>
      <c r="B43" t="s">
        <v>55</v>
      </c>
      <c r="C43">
        <v>20990</v>
      </c>
      <c r="D43" t="s">
        <v>56</v>
      </c>
      <c r="E43" s="6">
        <v>219.83000183105469</v>
      </c>
      <c r="G43">
        <v>1</v>
      </c>
      <c r="H43">
        <f t="shared" si="0"/>
        <v>2.1983000183105469E-3</v>
      </c>
      <c r="J43">
        <v>3</v>
      </c>
      <c r="K43">
        <f t="shared" si="1"/>
        <v>6.5949000549316407E-3</v>
      </c>
      <c r="M43">
        <v>1</v>
      </c>
      <c r="N43">
        <f t="shared" si="2"/>
        <v>2.1983000183105469E-3</v>
      </c>
      <c r="P43">
        <v>3</v>
      </c>
      <c r="Q43">
        <f t="shared" si="3"/>
        <v>6.5949000549316407E-3</v>
      </c>
      <c r="S43">
        <v>4</v>
      </c>
      <c r="T43">
        <f t="shared" si="4"/>
        <v>8.7932000732421876E-3</v>
      </c>
      <c r="V43">
        <f>_xlfn.XLOOKUP(B43,[1]Sheet1!$B:$B,[1]Sheet1!$C:$C,0,0,1)</f>
        <v>0</v>
      </c>
      <c r="W43">
        <f t="shared" si="5"/>
        <v>0</v>
      </c>
    </row>
    <row r="44" spans="1:23" x14ac:dyDescent="0.2">
      <c r="A44">
        <v>12558</v>
      </c>
      <c r="B44" t="s">
        <v>57</v>
      </c>
      <c r="C44">
        <v>53667</v>
      </c>
      <c r="D44" t="s">
        <v>58</v>
      </c>
      <c r="E44" s="6">
        <v>27.399999618530273</v>
      </c>
      <c r="G44">
        <v>8</v>
      </c>
      <c r="H44">
        <f t="shared" si="0"/>
        <v>2.1919999694824219E-3</v>
      </c>
      <c r="J44">
        <v>0</v>
      </c>
      <c r="K44">
        <f t="shared" si="1"/>
        <v>0</v>
      </c>
      <c r="M44">
        <v>10</v>
      </c>
      <c r="N44">
        <f t="shared" si="2"/>
        <v>2.7399999618530273E-3</v>
      </c>
      <c r="P44">
        <v>38</v>
      </c>
      <c r="Q44">
        <f t="shared" si="3"/>
        <v>1.0411999855041505E-2</v>
      </c>
      <c r="S44">
        <v>12</v>
      </c>
      <c r="T44">
        <f t="shared" si="4"/>
        <v>3.2879999542236326E-3</v>
      </c>
      <c r="V44">
        <f>_xlfn.XLOOKUP(B44,[1]Sheet1!$B:$B,[1]Sheet1!$C:$C,0,0,1)</f>
        <v>0</v>
      </c>
      <c r="W44">
        <f t="shared" si="5"/>
        <v>0</v>
      </c>
    </row>
    <row r="45" spans="1:23" x14ac:dyDescent="0.2">
      <c r="A45">
        <v>12570</v>
      </c>
      <c r="B45" t="s">
        <v>59</v>
      </c>
      <c r="C45">
        <v>20964</v>
      </c>
      <c r="D45" t="s">
        <v>60</v>
      </c>
      <c r="E45" s="6">
        <v>142.8800048828125</v>
      </c>
      <c r="G45">
        <v>2</v>
      </c>
      <c r="H45">
        <f t="shared" si="0"/>
        <v>2.8576000976562499E-3</v>
      </c>
      <c r="J45">
        <v>0</v>
      </c>
      <c r="K45">
        <f t="shared" si="1"/>
        <v>0</v>
      </c>
      <c r="M45">
        <v>0</v>
      </c>
      <c r="N45">
        <f t="shared" si="2"/>
        <v>0</v>
      </c>
      <c r="P45">
        <v>0</v>
      </c>
      <c r="Q45">
        <f t="shared" si="3"/>
        <v>0</v>
      </c>
      <c r="S45">
        <v>2</v>
      </c>
      <c r="T45">
        <f t="shared" si="4"/>
        <v>2.8576000976562499E-3</v>
      </c>
      <c r="V45">
        <f>_xlfn.XLOOKUP(B45,[1]Sheet1!$B:$B,[1]Sheet1!$C:$C,0,0,1)</f>
        <v>0</v>
      </c>
      <c r="W45">
        <f t="shared" si="5"/>
        <v>0</v>
      </c>
    </row>
    <row r="46" spans="1:23" x14ac:dyDescent="0.2">
      <c r="A46">
        <v>12591</v>
      </c>
      <c r="B46" t="s">
        <v>1011</v>
      </c>
      <c r="C46">
        <v>53688</v>
      </c>
      <c r="D46" t="s">
        <v>1012</v>
      </c>
      <c r="E46" s="6">
        <v>165.16000366210938</v>
      </c>
      <c r="G46">
        <v>4</v>
      </c>
      <c r="H46">
        <f t="shared" si="0"/>
        <v>6.6064001464843751E-3</v>
      </c>
      <c r="J46">
        <v>0</v>
      </c>
      <c r="K46">
        <f t="shared" si="1"/>
        <v>0</v>
      </c>
      <c r="M46">
        <v>1</v>
      </c>
      <c r="N46">
        <f t="shared" si="2"/>
        <v>1.6516000366210938E-3</v>
      </c>
      <c r="P46">
        <v>4</v>
      </c>
      <c r="Q46">
        <f t="shared" si="3"/>
        <v>6.6064001464843751E-3</v>
      </c>
      <c r="S46">
        <v>0</v>
      </c>
      <c r="T46">
        <f t="shared" si="4"/>
        <v>0</v>
      </c>
      <c r="V46">
        <f>_xlfn.XLOOKUP(B46,[1]Sheet1!$B:$B,[1]Sheet1!$C:$C,0,0,1)</f>
        <v>0</v>
      </c>
      <c r="W46">
        <f t="shared" si="5"/>
        <v>0</v>
      </c>
    </row>
    <row r="47" spans="1:23" x14ac:dyDescent="0.2">
      <c r="A47">
        <v>12622</v>
      </c>
      <c r="B47" t="s">
        <v>61</v>
      </c>
      <c r="C47">
        <v>53696</v>
      </c>
      <c r="D47" t="s">
        <v>62</v>
      </c>
      <c r="E47" s="6">
        <v>300.14999389648438</v>
      </c>
      <c r="G47">
        <v>0</v>
      </c>
      <c r="H47">
        <f t="shared" si="0"/>
        <v>0</v>
      </c>
      <c r="J47">
        <v>0</v>
      </c>
      <c r="K47">
        <f t="shared" si="1"/>
        <v>0</v>
      </c>
      <c r="M47">
        <v>1</v>
      </c>
      <c r="N47">
        <f t="shared" si="2"/>
        <v>3.0014999389648437E-3</v>
      </c>
      <c r="P47">
        <v>0</v>
      </c>
      <c r="Q47">
        <f t="shared" si="3"/>
        <v>0</v>
      </c>
      <c r="S47">
        <v>0</v>
      </c>
      <c r="T47">
        <f t="shared" si="4"/>
        <v>0</v>
      </c>
      <c r="V47">
        <f>_xlfn.XLOOKUP(B47,[1]Sheet1!$B:$B,[1]Sheet1!$C:$C,0,0,1)</f>
        <v>0</v>
      </c>
      <c r="W47">
        <f t="shared" si="5"/>
        <v>0</v>
      </c>
    </row>
    <row r="48" spans="1:23" x14ac:dyDescent="0.2">
      <c r="A48">
        <v>12623</v>
      </c>
      <c r="B48" t="s">
        <v>63</v>
      </c>
      <c r="C48">
        <v>53697</v>
      </c>
      <c r="D48" t="s">
        <v>64</v>
      </c>
      <c r="E48" s="6">
        <v>188.97000122070312</v>
      </c>
      <c r="G48">
        <v>0</v>
      </c>
      <c r="H48">
        <f t="shared" si="0"/>
        <v>0</v>
      </c>
      <c r="J48">
        <v>0</v>
      </c>
      <c r="K48">
        <f t="shared" si="1"/>
        <v>0</v>
      </c>
      <c r="M48">
        <v>1</v>
      </c>
      <c r="N48">
        <f t="shared" si="2"/>
        <v>1.8897000122070312E-3</v>
      </c>
      <c r="P48">
        <v>0</v>
      </c>
      <c r="Q48">
        <f t="shared" si="3"/>
        <v>0</v>
      </c>
      <c r="S48">
        <v>0</v>
      </c>
      <c r="T48">
        <f t="shared" si="4"/>
        <v>0</v>
      </c>
      <c r="V48">
        <f>_xlfn.XLOOKUP(B48,[1]Sheet1!$B:$B,[1]Sheet1!$C:$C,0,0,1)</f>
        <v>0</v>
      </c>
      <c r="W48">
        <f t="shared" si="5"/>
        <v>0</v>
      </c>
    </row>
    <row r="49" spans="1:23" x14ac:dyDescent="0.2">
      <c r="A49">
        <v>12872</v>
      </c>
      <c r="B49" t="s">
        <v>65</v>
      </c>
      <c r="C49">
        <v>53810</v>
      </c>
      <c r="D49" t="s">
        <v>66</v>
      </c>
      <c r="E49" s="6">
        <v>139.5</v>
      </c>
      <c r="G49">
        <v>1</v>
      </c>
      <c r="H49">
        <f t="shared" si="0"/>
        <v>1.395E-3</v>
      </c>
      <c r="J49">
        <v>1</v>
      </c>
      <c r="K49">
        <f t="shared" si="1"/>
        <v>1.395E-3</v>
      </c>
      <c r="M49">
        <v>3</v>
      </c>
      <c r="N49">
        <f t="shared" si="2"/>
        <v>4.1850000000000004E-3</v>
      </c>
      <c r="P49">
        <v>0</v>
      </c>
      <c r="Q49">
        <f t="shared" si="3"/>
        <v>0</v>
      </c>
      <c r="S49">
        <v>0</v>
      </c>
      <c r="T49">
        <f t="shared" si="4"/>
        <v>0</v>
      </c>
      <c r="V49">
        <f>_xlfn.XLOOKUP(B49,[1]Sheet1!$B:$B,[1]Sheet1!$C:$C,0,0,1)</f>
        <v>0</v>
      </c>
      <c r="W49">
        <f t="shared" si="5"/>
        <v>0</v>
      </c>
    </row>
    <row r="50" spans="1:23" x14ac:dyDescent="0.2">
      <c r="A50">
        <v>13035</v>
      </c>
      <c r="B50" t="s">
        <v>67</v>
      </c>
      <c r="C50">
        <v>53896</v>
      </c>
      <c r="D50" t="s">
        <v>68</v>
      </c>
      <c r="E50" s="6">
        <v>116.01999664306641</v>
      </c>
      <c r="G50">
        <v>0</v>
      </c>
      <c r="H50">
        <f t="shared" si="0"/>
        <v>0</v>
      </c>
      <c r="J50">
        <v>4</v>
      </c>
      <c r="K50">
        <f t="shared" si="1"/>
        <v>4.640799865722656E-3</v>
      </c>
      <c r="M50">
        <v>2</v>
      </c>
      <c r="N50">
        <f t="shared" si="2"/>
        <v>2.320399932861328E-3</v>
      </c>
      <c r="P50">
        <v>0</v>
      </c>
      <c r="Q50">
        <f t="shared" si="3"/>
        <v>0</v>
      </c>
      <c r="S50">
        <v>4</v>
      </c>
      <c r="T50">
        <f t="shared" si="4"/>
        <v>4.640799865722656E-3</v>
      </c>
      <c r="V50">
        <f>_xlfn.XLOOKUP(B50,[1]Sheet1!$B:$B,[1]Sheet1!$C:$C,0,0,1)</f>
        <v>0</v>
      </c>
      <c r="W50">
        <f t="shared" si="5"/>
        <v>0</v>
      </c>
    </row>
    <row r="51" spans="1:23" x14ac:dyDescent="0.2">
      <c r="A51">
        <v>13103</v>
      </c>
      <c r="B51" t="s">
        <v>69</v>
      </c>
      <c r="C51">
        <v>53927</v>
      </c>
      <c r="D51" t="s">
        <v>1013</v>
      </c>
      <c r="E51" s="6">
        <v>60.479999542236328</v>
      </c>
      <c r="G51">
        <v>0</v>
      </c>
      <c r="H51">
        <f t="shared" si="0"/>
        <v>0</v>
      </c>
      <c r="J51">
        <v>0</v>
      </c>
      <c r="K51">
        <f t="shared" si="1"/>
        <v>0</v>
      </c>
      <c r="M51">
        <v>2</v>
      </c>
      <c r="N51">
        <f t="shared" si="2"/>
        <v>1.2095999908447266E-3</v>
      </c>
      <c r="P51">
        <v>0</v>
      </c>
      <c r="Q51">
        <f t="shared" si="3"/>
        <v>0</v>
      </c>
      <c r="S51">
        <v>0</v>
      </c>
      <c r="T51">
        <f t="shared" si="4"/>
        <v>0</v>
      </c>
      <c r="V51">
        <f>_xlfn.XLOOKUP(B51,[1]Sheet1!$B:$B,[1]Sheet1!$C:$C,0,0,1)</f>
        <v>0</v>
      </c>
      <c r="W51">
        <f t="shared" si="5"/>
        <v>0</v>
      </c>
    </row>
    <row r="52" spans="1:23" x14ac:dyDescent="0.2">
      <c r="A52">
        <v>13210</v>
      </c>
      <c r="B52" t="s">
        <v>70</v>
      </c>
      <c r="C52">
        <v>53983</v>
      </c>
      <c r="D52" t="s">
        <v>71</v>
      </c>
      <c r="E52" s="6">
        <v>233.82000732421875</v>
      </c>
      <c r="G52">
        <v>0</v>
      </c>
      <c r="H52">
        <f t="shared" si="0"/>
        <v>0</v>
      </c>
      <c r="J52">
        <v>0</v>
      </c>
      <c r="K52">
        <f t="shared" si="1"/>
        <v>0</v>
      </c>
      <c r="M52">
        <v>1</v>
      </c>
      <c r="N52">
        <f t="shared" si="2"/>
        <v>2.3382000732421874E-3</v>
      </c>
      <c r="P52">
        <v>0</v>
      </c>
      <c r="Q52">
        <f t="shared" si="3"/>
        <v>0</v>
      </c>
      <c r="S52">
        <v>0</v>
      </c>
      <c r="T52">
        <f t="shared" si="4"/>
        <v>0</v>
      </c>
      <c r="V52">
        <f>_xlfn.XLOOKUP(B52,[1]Sheet1!$B:$B,[1]Sheet1!$C:$C,0,0,1)</f>
        <v>0</v>
      </c>
      <c r="W52">
        <f t="shared" si="5"/>
        <v>0</v>
      </c>
    </row>
    <row r="53" spans="1:23" x14ac:dyDescent="0.2">
      <c r="A53">
        <v>13323</v>
      </c>
      <c r="B53" t="s">
        <v>72</v>
      </c>
      <c r="C53">
        <v>54026</v>
      </c>
      <c r="D53" t="s">
        <v>73</v>
      </c>
      <c r="E53" s="6">
        <v>68.680000305175781</v>
      </c>
      <c r="G53">
        <v>0</v>
      </c>
      <c r="H53">
        <f t="shared" si="0"/>
        <v>0</v>
      </c>
      <c r="J53">
        <v>0</v>
      </c>
      <c r="K53">
        <f t="shared" si="1"/>
        <v>0</v>
      </c>
      <c r="M53">
        <v>2</v>
      </c>
      <c r="N53">
        <f t="shared" si="2"/>
        <v>1.3736000061035157E-3</v>
      </c>
      <c r="P53">
        <v>0</v>
      </c>
      <c r="Q53">
        <f t="shared" si="3"/>
        <v>0</v>
      </c>
      <c r="S53">
        <v>0</v>
      </c>
      <c r="T53">
        <f t="shared" si="4"/>
        <v>0</v>
      </c>
      <c r="V53">
        <f>_xlfn.XLOOKUP(B53,[1]Sheet1!$B:$B,[1]Sheet1!$C:$C,0,0,1)</f>
        <v>0</v>
      </c>
      <c r="W53">
        <f t="shared" si="5"/>
        <v>0</v>
      </c>
    </row>
    <row r="54" spans="1:23" x14ac:dyDescent="0.2">
      <c r="A54">
        <v>13356</v>
      </c>
      <c r="B54" t="s">
        <v>74</v>
      </c>
      <c r="C54">
        <v>54048</v>
      </c>
      <c r="D54" t="s">
        <v>75</v>
      </c>
      <c r="E54" s="6">
        <v>113.93000030517578</v>
      </c>
      <c r="G54">
        <v>0</v>
      </c>
      <c r="H54">
        <f t="shared" si="0"/>
        <v>0</v>
      </c>
      <c r="J54">
        <v>1</v>
      </c>
      <c r="K54">
        <f t="shared" si="1"/>
        <v>1.1393000030517578E-3</v>
      </c>
      <c r="M54">
        <v>3</v>
      </c>
      <c r="N54">
        <f t="shared" si="2"/>
        <v>3.4179000091552735E-3</v>
      </c>
      <c r="P54">
        <v>0</v>
      </c>
      <c r="Q54">
        <f t="shared" si="3"/>
        <v>0</v>
      </c>
      <c r="S54">
        <v>0</v>
      </c>
      <c r="T54">
        <f t="shared" si="4"/>
        <v>0</v>
      </c>
      <c r="V54">
        <f>_xlfn.XLOOKUP(B54,[1]Sheet1!$B:$B,[1]Sheet1!$C:$C,0,0,1)</f>
        <v>0</v>
      </c>
      <c r="W54">
        <f t="shared" si="5"/>
        <v>0</v>
      </c>
    </row>
    <row r="55" spans="1:23" x14ac:dyDescent="0.2">
      <c r="A55">
        <v>13407</v>
      </c>
      <c r="B55" t="s">
        <v>76</v>
      </c>
      <c r="C55">
        <v>54084</v>
      </c>
      <c r="D55" t="s">
        <v>77</v>
      </c>
      <c r="E55" s="6">
        <v>585.510009765625</v>
      </c>
      <c r="G55">
        <v>3</v>
      </c>
      <c r="H55">
        <f t="shared" si="0"/>
        <v>1.7565300292968749E-2</v>
      </c>
      <c r="J55">
        <v>0</v>
      </c>
      <c r="K55">
        <f t="shared" si="1"/>
        <v>0</v>
      </c>
      <c r="M55">
        <v>1</v>
      </c>
      <c r="N55">
        <f t="shared" si="2"/>
        <v>5.8551000976562496E-3</v>
      </c>
      <c r="P55">
        <v>0</v>
      </c>
      <c r="Q55">
        <f t="shared" si="3"/>
        <v>0</v>
      </c>
      <c r="S55">
        <v>0</v>
      </c>
      <c r="T55">
        <f t="shared" si="4"/>
        <v>0</v>
      </c>
      <c r="V55">
        <f>_xlfn.XLOOKUP(B55,[1]Sheet1!$B:$B,[1]Sheet1!$C:$C,0,0,1)</f>
        <v>0</v>
      </c>
      <c r="W55">
        <f t="shared" si="5"/>
        <v>0</v>
      </c>
    </row>
    <row r="56" spans="1:23" x14ac:dyDescent="0.2">
      <c r="A56">
        <v>13447</v>
      </c>
      <c r="B56" t="s">
        <v>78</v>
      </c>
      <c r="C56">
        <v>54109</v>
      </c>
      <c r="D56" t="s">
        <v>79</v>
      </c>
      <c r="E56" s="6">
        <v>1060.1199951171875</v>
      </c>
      <c r="G56">
        <v>1</v>
      </c>
      <c r="H56">
        <f t="shared" si="0"/>
        <v>1.0601199951171874E-2</v>
      </c>
      <c r="J56">
        <v>0</v>
      </c>
      <c r="K56">
        <f t="shared" si="1"/>
        <v>0</v>
      </c>
      <c r="M56">
        <v>0</v>
      </c>
      <c r="N56">
        <f t="shared" si="2"/>
        <v>0</v>
      </c>
      <c r="P56">
        <v>1</v>
      </c>
      <c r="Q56">
        <f t="shared" si="3"/>
        <v>1.0601199951171874E-2</v>
      </c>
      <c r="S56">
        <v>0</v>
      </c>
      <c r="T56">
        <f t="shared" si="4"/>
        <v>0</v>
      </c>
      <c r="V56">
        <f>_xlfn.XLOOKUP(B56,[1]Sheet1!$B:$B,[1]Sheet1!$C:$C,0,0,1)</f>
        <v>0</v>
      </c>
      <c r="W56">
        <f t="shared" si="5"/>
        <v>0</v>
      </c>
    </row>
    <row r="57" spans="1:23" x14ac:dyDescent="0.2">
      <c r="A57">
        <v>13511</v>
      </c>
      <c r="B57" t="s">
        <v>80</v>
      </c>
      <c r="C57">
        <v>54139</v>
      </c>
      <c r="D57" t="s">
        <v>81</v>
      </c>
      <c r="E57" s="6">
        <v>181.96000671386719</v>
      </c>
      <c r="G57">
        <v>4</v>
      </c>
      <c r="H57">
        <f t="shared" si="0"/>
        <v>7.2784002685546871E-3</v>
      </c>
      <c r="J57">
        <v>1</v>
      </c>
      <c r="K57">
        <f t="shared" si="1"/>
        <v>1.8196000671386718E-3</v>
      </c>
      <c r="M57">
        <v>0</v>
      </c>
      <c r="N57">
        <f t="shared" si="2"/>
        <v>0</v>
      </c>
      <c r="P57">
        <v>0</v>
      </c>
      <c r="Q57">
        <f t="shared" si="3"/>
        <v>0</v>
      </c>
      <c r="S57">
        <v>0</v>
      </c>
      <c r="T57">
        <f t="shared" si="4"/>
        <v>0</v>
      </c>
      <c r="V57">
        <f>_xlfn.XLOOKUP(B57,[1]Sheet1!$B:$B,[1]Sheet1!$C:$C,0,0,1)</f>
        <v>0</v>
      </c>
      <c r="W57">
        <f t="shared" si="5"/>
        <v>0</v>
      </c>
    </row>
    <row r="58" spans="1:23" x14ac:dyDescent="0.2">
      <c r="A58">
        <v>13586</v>
      </c>
      <c r="B58" t="s">
        <v>82</v>
      </c>
      <c r="C58">
        <v>54185</v>
      </c>
      <c r="D58" t="s">
        <v>83</v>
      </c>
      <c r="E58" s="6">
        <v>100.63999938964844</v>
      </c>
      <c r="G58">
        <v>5</v>
      </c>
      <c r="H58">
        <f t="shared" si="0"/>
        <v>5.031999969482422E-3</v>
      </c>
      <c r="J58">
        <v>2</v>
      </c>
      <c r="K58">
        <f t="shared" si="1"/>
        <v>2.012799987792969E-3</v>
      </c>
      <c r="M58">
        <v>2</v>
      </c>
      <c r="N58">
        <f t="shared" si="2"/>
        <v>2.012799987792969E-3</v>
      </c>
      <c r="P58">
        <v>8</v>
      </c>
      <c r="Q58">
        <f t="shared" si="3"/>
        <v>8.0511999511718758E-3</v>
      </c>
      <c r="S58">
        <v>0</v>
      </c>
      <c r="T58">
        <f t="shared" si="4"/>
        <v>0</v>
      </c>
      <c r="V58">
        <f>_xlfn.XLOOKUP(B58,[1]Sheet1!$B:$B,[1]Sheet1!$C:$C,0,0,1)</f>
        <v>0</v>
      </c>
      <c r="W58">
        <f t="shared" si="5"/>
        <v>0</v>
      </c>
    </row>
    <row r="59" spans="1:23" x14ac:dyDescent="0.2">
      <c r="A59">
        <v>13628</v>
      </c>
      <c r="B59" t="s">
        <v>1014</v>
      </c>
      <c r="C59">
        <v>54213</v>
      </c>
      <c r="D59" t="s">
        <v>1015</v>
      </c>
      <c r="E59" s="6">
        <v>258.02999877929688</v>
      </c>
      <c r="G59">
        <v>1</v>
      </c>
      <c r="H59">
        <f t="shared" si="0"/>
        <v>2.5802999877929688E-3</v>
      </c>
      <c r="J59">
        <v>0</v>
      </c>
      <c r="K59">
        <f t="shared" si="1"/>
        <v>0</v>
      </c>
      <c r="M59">
        <v>0</v>
      </c>
      <c r="N59">
        <f t="shared" si="2"/>
        <v>0</v>
      </c>
      <c r="P59">
        <v>0</v>
      </c>
      <c r="Q59">
        <f t="shared" si="3"/>
        <v>0</v>
      </c>
      <c r="S59">
        <v>1</v>
      </c>
      <c r="T59">
        <f t="shared" si="4"/>
        <v>2.5802999877929688E-3</v>
      </c>
      <c r="V59">
        <f>_xlfn.XLOOKUP(B59,[1]Sheet1!$B:$B,[1]Sheet1!$C:$C,0,0,1)</f>
        <v>0</v>
      </c>
      <c r="W59">
        <f t="shared" si="5"/>
        <v>0</v>
      </c>
    </row>
    <row r="60" spans="1:23" x14ac:dyDescent="0.2">
      <c r="A60">
        <v>13641</v>
      </c>
      <c r="B60" t="s">
        <v>84</v>
      </c>
      <c r="C60">
        <v>54222</v>
      </c>
      <c r="D60" t="s">
        <v>85</v>
      </c>
      <c r="E60" s="6">
        <v>163.83000183105469</v>
      </c>
      <c r="G60">
        <v>0</v>
      </c>
      <c r="H60">
        <f t="shared" si="0"/>
        <v>0</v>
      </c>
      <c r="J60">
        <v>0</v>
      </c>
      <c r="K60">
        <f t="shared" si="1"/>
        <v>0</v>
      </c>
      <c r="M60">
        <v>2</v>
      </c>
      <c r="N60">
        <f t="shared" si="2"/>
        <v>3.2766000366210939E-3</v>
      </c>
      <c r="P60">
        <v>0</v>
      </c>
      <c r="Q60">
        <f t="shared" si="3"/>
        <v>0</v>
      </c>
      <c r="S60">
        <v>1</v>
      </c>
      <c r="T60">
        <f t="shared" si="4"/>
        <v>1.638300018310547E-3</v>
      </c>
      <c r="V60">
        <f>_xlfn.XLOOKUP(B60,[1]Sheet1!$B:$B,[1]Sheet1!$C:$C,0,0,1)</f>
        <v>0</v>
      </c>
      <c r="W60">
        <f t="shared" si="5"/>
        <v>0</v>
      </c>
    </row>
    <row r="61" spans="1:23" x14ac:dyDescent="0.2">
      <c r="A61">
        <v>13688</v>
      </c>
      <c r="B61" t="s">
        <v>86</v>
      </c>
      <c r="C61">
        <v>21356</v>
      </c>
      <c r="D61" t="s">
        <v>87</v>
      </c>
      <c r="E61" s="6">
        <v>20.180000305175781</v>
      </c>
      <c r="G61">
        <v>5</v>
      </c>
      <c r="H61">
        <f t="shared" si="0"/>
        <v>1.0090000152587892E-3</v>
      </c>
      <c r="J61">
        <v>0</v>
      </c>
      <c r="K61">
        <f t="shared" si="1"/>
        <v>0</v>
      </c>
      <c r="M61">
        <v>14</v>
      </c>
      <c r="N61">
        <f t="shared" si="2"/>
        <v>2.8252000427246094E-3</v>
      </c>
      <c r="P61">
        <v>0</v>
      </c>
      <c r="Q61">
        <f t="shared" si="3"/>
        <v>0</v>
      </c>
      <c r="S61">
        <v>1</v>
      </c>
      <c r="T61">
        <f t="shared" si="4"/>
        <v>2.0180000305175782E-4</v>
      </c>
      <c r="V61">
        <f>_xlfn.XLOOKUP(B61,[1]Sheet1!$B:$B,[1]Sheet1!$C:$C,0,0,1)</f>
        <v>0</v>
      </c>
      <c r="W61">
        <f t="shared" si="5"/>
        <v>0</v>
      </c>
    </row>
    <row r="62" spans="1:23" x14ac:dyDescent="0.2">
      <c r="A62">
        <v>13721</v>
      </c>
      <c r="B62" t="s">
        <v>88</v>
      </c>
      <c r="C62">
        <v>54287</v>
      </c>
      <c r="D62" t="s">
        <v>89</v>
      </c>
      <c r="E62" s="6">
        <v>177.69999694824219</v>
      </c>
      <c r="G62">
        <v>0</v>
      </c>
      <c r="H62">
        <f t="shared" si="0"/>
        <v>0</v>
      </c>
      <c r="J62">
        <v>0</v>
      </c>
      <c r="K62">
        <f t="shared" si="1"/>
        <v>0</v>
      </c>
      <c r="M62">
        <v>1</v>
      </c>
      <c r="N62">
        <f t="shared" si="2"/>
        <v>1.7769999694824219E-3</v>
      </c>
      <c r="P62">
        <v>0</v>
      </c>
      <c r="Q62">
        <f t="shared" si="3"/>
        <v>0</v>
      </c>
      <c r="S62">
        <v>0</v>
      </c>
      <c r="T62">
        <f t="shared" si="4"/>
        <v>0</v>
      </c>
      <c r="V62">
        <f>_xlfn.XLOOKUP(B62,[1]Sheet1!$B:$B,[1]Sheet1!$C:$C,0,0,1)</f>
        <v>0</v>
      </c>
      <c r="W62">
        <f t="shared" si="5"/>
        <v>0</v>
      </c>
    </row>
    <row r="63" spans="1:23" x14ac:dyDescent="0.2">
      <c r="A63">
        <v>13760</v>
      </c>
      <c r="B63" t="s">
        <v>90</v>
      </c>
      <c r="C63">
        <v>54313</v>
      </c>
      <c r="D63" t="s">
        <v>91</v>
      </c>
      <c r="E63" s="6">
        <v>25.729999542236328</v>
      </c>
      <c r="G63">
        <v>17</v>
      </c>
      <c r="H63">
        <f t="shared" si="0"/>
        <v>4.3740999221801762E-3</v>
      </c>
      <c r="J63">
        <v>0</v>
      </c>
      <c r="K63">
        <f t="shared" si="1"/>
        <v>0</v>
      </c>
      <c r="M63">
        <v>7</v>
      </c>
      <c r="N63">
        <f t="shared" si="2"/>
        <v>1.8010999679565431E-3</v>
      </c>
      <c r="P63">
        <v>20</v>
      </c>
      <c r="Q63">
        <f t="shared" si="3"/>
        <v>5.1459999084472654E-3</v>
      </c>
      <c r="S63">
        <v>0</v>
      </c>
      <c r="T63">
        <f t="shared" si="4"/>
        <v>0</v>
      </c>
      <c r="V63">
        <f>_xlfn.XLOOKUP(B63,[1]Sheet1!$B:$B,[1]Sheet1!$C:$C,0,0,1)</f>
        <v>0</v>
      </c>
      <c r="W63">
        <f t="shared" si="5"/>
        <v>0</v>
      </c>
    </row>
    <row r="64" spans="1:23" x14ac:dyDescent="0.2">
      <c r="A64">
        <v>13788</v>
      </c>
      <c r="B64" t="s">
        <v>92</v>
      </c>
      <c r="C64">
        <v>54327</v>
      </c>
      <c r="D64" t="s">
        <v>93</v>
      </c>
      <c r="E64" s="6">
        <v>162.92999267578125</v>
      </c>
      <c r="G64">
        <v>0</v>
      </c>
      <c r="H64">
        <f t="shared" si="0"/>
        <v>0</v>
      </c>
      <c r="J64">
        <v>3</v>
      </c>
      <c r="K64">
        <f t="shared" si="1"/>
        <v>4.8878997802734372E-3</v>
      </c>
      <c r="M64">
        <v>1</v>
      </c>
      <c r="N64">
        <f t="shared" si="2"/>
        <v>1.6292999267578125E-3</v>
      </c>
      <c r="P64">
        <v>0</v>
      </c>
      <c r="Q64">
        <f t="shared" si="3"/>
        <v>0</v>
      </c>
      <c r="S64">
        <v>1</v>
      </c>
      <c r="T64">
        <f t="shared" si="4"/>
        <v>1.6292999267578125E-3</v>
      </c>
      <c r="V64">
        <f>_xlfn.XLOOKUP(B64,[1]Sheet1!$B:$B,[1]Sheet1!$C:$C,0,0,1)</f>
        <v>0</v>
      </c>
      <c r="W64">
        <f t="shared" si="5"/>
        <v>0</v>
      </c>
    </row>
    <row r="65" spans="1:23" x14ac:dyDescent="0.2">
      <c r="A65">
        <v>13856</v>
      </c>
      <c r="B65" t="s">
        <v>94</v>
      </c>
      <c r="C65">
        <v>21384</v>
      </c>
      <c r="D65" t="s">
        <v>95</v>
      </c>
      <c r="E65" s="6">
        <v>152.05999755859375</v>
      </c>
      <c r="G65">
        <v>0</v>
      </c>
      <c r="H65">
        <f t="shared" si="0"/>
        <v>0</v>
      </c>
      <c r="J65">
        <v>3</v>
      </c>
      <c r="K65">
        <f t="shared" si="1"/>
        <v>4.5617999267578129E-3</v>
      </c>
      <c r="M65">
        <v>2</v>
      </c>
      <c r="N65">
        <f t="shared" si="2"/>
        <v>3.0411999511718748E-3</v>
      </c>
      <c r="P65">
        <v>0</v>
      </c>
      <c r="Q65">
        <f t="shared" si="3"/>
        <v>0</v>
      </c>
      <c r="S65">
        <v>0</v>
      </c>
      <c r="T65">
        <f t="shared" si="4"/>
        <v>0</v>
      </c>
      <c r="V65">
        <f>_xlfn.XLOOKUP(B65,[1]Sheet1!$B:$B,[1]Sheet1!$C:$C,0,0,1)</f>
        <v>0</v>
      </c>
      <c r="W65">
        <f t="shared" si="5"/>
        <v>0</v>
      </c>
    </row>
    <row r="66" spans="1:23" x14ac:dyDescent="0.2">
      <c r="A66">
        <v>13901</v>
      </c>
      <c r="B66" t="s">
        <v>96</v>
      </c>
      <c r="C66">
        <v>21398</v>
      </c>
      <c r="D66" t="s">
        <v>97</v>
      </c>
      <c r="E66" s="6">
        <v>52.290000915527344</v>
      </c>
      <c r="G66">
        <v>1</v>
      </c>
      <c r="H66">
        <f t="shared" si="0"/>
        <v>5.2290000915527341E-4</v>
      </c>
      <c r="J66">
        <v>0</v>
      </c>
      <c r="K66">
        <f t="shared" si="1"/>
        <v>0</v>
      </c>
      <c r="M66">
        <v>6</v>
      </c>
      <c r="N66">
        <f t="shared" si="2"/>
        <v>3.1374000549316407E-3</v>
      </c>
      <c r="P66">
        <v>0</v>
      </c>
      <c r="Q66">
        <f t="shared" si="3"/>
        <v>0</v>
      </c>
      <c r="S66">
        <v>0</v>
      </c>
      <c r="T66">
        <f t="shared" si="4"/>
        <v>0</v>
      </c>
      <c r="V66">
        <f>_xlfn.XLOOKUP(B66,[1]Sheet1!$B:$B,[1]Sheet1!$C:$C,0,0,1)</f>
        <v>0</v>
      </c>
      <c r="W66">
        <f t="shared" si="5"/>
        <v>0</v>
      </c>
    </row>
    <row r="67" spans="1:23" x14ac:dyDescent="0.2">
      <c r="A67">
        <v>13911</v>
      </c>
      <c r="B67" t="s">
        <v>98</v>
      </c>
      <c r="C67">
        <v>54401</v>
      </c>
      <c r="D67" t="s">
        <v>99</v>
      </c>
      <c r="E67" s="6">
        <v>196.50999450683594</v>
      </c>
      <c r="G67">
        <v>0</v>
      </c>
      <c r="H67">
        <f t="shared" si="0"/>
        <v>0</v>
      </c>
      <c r="J67">
        <v>1</v>
      </c>
      <c r="K67">
        <f t="shared" si="1"/>
        <v>1.9650999450683592E-3</v>
      </c>
      <c r="M67">
        <v>1</v>
      </c>
      <c r="N67">
        <f t="shared" si="2"/>
        <v>1.9650999450683592E-3</v>
      </c>
      <c r="P67">
        <v>0</v>
      </c>
      <c r="Q67">
        <f t="shared" si="3"/>
        <v>0</v>
      </c>
      <c r="S67">
        <v>1</v>
      </c>
      <c r="T67">
        <f t="shared" si="4"/>
        <v>1.9650999450683592E-3</v>
      </c>
      <c r="V67">
        <f>_xlfn.XLOOKUP(B67,[1]Sheet1!$B:$B,[1]Sheet1!$C:$C,0,0,1)</f>
        <v>0</v>
      </c>
      <c r="W67">
        <f t="shared" si="5"/>
        <v>0</v>
      </c>
    </row>
    <row r="68" spans="1:23" x14ac:dyDescent="0.2">
      <c r="A68">
        <v>13928</v>
      </c>
      <c r="B68" t="s">
        <v>100</v>
      </c>
      <c r="C68">
        <v>21401</v>
      </c>
      <c r="D68" t="s">
        <v>101</v>
      </c>
      <c r="E68" s="6">
        <v>99.169998168945312</v>
      </c>
      <c r="G68">
        <v>0</v>
      </c>
      <c r="H68">
        <f t="shared" si="0"/>
        <v>0</v>
      </c>
      <c r="J68">
        <v>0</v>
      </c>
      <c r="K68">
        <f t="shared" si="1"/>
        <v>0</v>
      </c>
      <c r="M68">
        <v>3</v>
      </c>
      <c r="N68">
        <f t="shared" si="2"/>
        <v>2.9750999450683592E-3</v>
      </c>
      <c r="P68">
        <v>0</v>
      </c>
      <c r="Q68">
        <f t="shared" si="3"/>
        <v>0</v>
      </c>
      <c r="S68">
        <v>0</v>
      </c>
      <c r="T68">
        <f t="shared" si="4"/>
        <v>0</v>
      </c>
      <c r="V68">
        <f>_xlfn.XLOOKUP(B68,[1]Sheet1!$B:$B,[1]Sheet1!$C:$C,0,0,1)</f>
        <v>0</v>
      </c>
      <c r="W68">
        <f t="shared" si="5"/>
        <v>0</v>
      </c>
    </row>
    <row r="69" spans="1:23" x14ac:dyDescent="0.2">
      <c r="A69">
        <v>13949</v>
      </c>
      <c r="B69" t="s">
        <v>102</v>
      </c>
      <c r="C69">
        <v>54426</v>
      </c>
      <c r="D69" t="s">
        <v>103</v>
      </c>
      <c r="E69" s="6">
        <v>174.03999328613281</v>
      </c>
      <c r="G69">
        <v>0</v>
      </c>
      <c r="H69">
        <f t="shared" si="0"/>
        <v>0</v>
      </c>
      <c r="J69">
        <v>0</v>
      </c>
      <c r="K69">
        <f t="shared" si="1"/>
        <v>0</v>
      </c>
      <c r="M69">
        <v>1</v>
      </c>
      <c r="N69">
        <f t="shared" si="2"/>
        <v>1.7403999328613282E-3</v>
      </c>
      <c r="P69">
        <v>0</v>
      </c>
      <c r="Q69">
        <f t="shared" si="3"/>
        <v>0</v>
      </c>
      <c r="S69">
        <v>0</v>
      </c>
      <c r="T69">
        <f t="shared" si="4"/>
        <v>0</v>
      </c>
      <c r="V69">
        <f>_xlfn.XLOOKUP(B69,[1]Sheet1!$B:$B,[1]Sheet1!$C:$C,0,0,1)</f>
        <v>0</v>
      </c>
      <c r="W69">
        <f t="shared" si="5"/>
        <v>0</v>
      </c>
    </row>
    <row r="70" spans="1:23" x14ac:dyDescent="0.2">
      <c r="A70">
        <v>13963</v>
      </c>
      <c r="B70" t="s">
        <v>104</v>
      </c>
      <c r="C70">
        <v>54433</v>
      </c>
      <c r="D70" t="s">
        <v>105</v>
      </c>
      <c r="E70" s="6">
        <v>27.540000915527344</v>
      </c>
      <c r="G70">
        <v>7</v>
      </c>
      <c r="H70">
        <f t="shared" si="0"/>
        <v>1.9278000640869141E-3</v>
      </c>
      <c r="J70">
        <v>12</v>
      </c>
      <c r="K70">
        <f t="shared" si="1"/>
        <v>3.3048001098632813E-3</v>
      </c>
      <c r="M70">
        <v>10</v>
      </c>
      <c r="N70">
        <f t="shared" si="2"/>
        <v>2.7540000915527345E-3</v>
      </c>
      <c r="P70">
        <v>0</v>
      </c>
      <c r="Q70">
        <f t="shared" si="3"/>
        <v>0</v>
      </c>
      <c r="S70">
        <v>4</v>
      </c>
      <c r="T70">
        <f t="shared" si="4"/>
        <v>1.1016000366210938E-3</v>
      </c>
      <c r="V70">
        <f>_xlfn.XLOOKUP(B70,[1]Sheet1!$B:$B,[1]Sheet1!$C:$C,0,0,1)</f>
        <v>0</v>
      </c>
      <c r="W70">
        <f t="shared" si="5"/>
        <v>0</v>
      </c>
    </row>
    <row r="71" spans="1:23" x14ac:dyDescent="0.2">
      <c r="A71">
        <v>13964</v>
      </c>
      <c r="B71" t="s">
        <v>106</v>
      </c>
      <c r="C71">
        <v>54433</v>
      </c>
      <c r="D71" t="s">
        <v>105</v>
      </c>
      <c r="E71" s="6">
        <v>30.430000305175781</v>
      </c>
      <c r="G71">
        <v>9</v>
      </c>
      <c r="H71">
        <f t="shared" si="0"/>
        <v>2.7387000274658201E-3</v>
      </c>
      <c r="J71">
        <v>13</v>
      </c>
      <c r="K71">
        <f t="shared" si="1"/>
        <v>3.9559000396728519E-3</v>
      </c>
      <c r="M71">
        <v>9</v>
      </c>
      <c r="N71">
        <f t="shared" si="2"/>
        <v>2.7387000274658201E-3</v>
      </c>
      <c r="P71">
        <v>27</v>
      </c>
      <c r="Q71">
        <f t="shared" si="3"/>
        <v>8.2161000823974609E-3</v>
      </c>
      <c r="S71">
        <v>21</v>
      </c>
      <c r="T71">
        <f t="shared" si="4"/>
        <v>6.3903000640869144E-3</v>
      </c>
      <c r="V71">
        <f>_xlfn.XLOOKUP(B71,[1]Sheet1!$B:$B,[1]Sheet1!$C:$C,0,0,1)</f>
        <v>0</v>
      </c>
      <c r="W71">
        <f t="shared" si="5"/>
        <v>0</v>
      </c>
    </row>
    <row r="72" spans="1:23" x14ac:dyDescent="0.2">
      <c r="A72">
        <v>14008</v>
      </c>
      <c r="B72" t="s">
        <v>107</v>
      </c>
      <c r="C72">
        <v>216</v>
      </c>
      <c r="D72" t="s">
        <v>108</v>
      </c>
      <c r="E72" s="6">
        <v>260.6400146484375</v>
      </c>
      <c r="G72">
        <v>0</v>
      </c>
      <c r="H72">
        <f t="shared" si="0"/>
        <v>0</v>
      </c>
      <c r="J72">
        <v>0</v>
      </c>
      <c r="K72">
        <f t="shared" si="1"/>
        <v>0</v>
      </c>
      <c r="M72">
        <v>1</v>
      </c>
      <c r="N72">
        <f t="shared" si="2"/>
        <v>2.606400146484375E-3</v>
      </c>
      <c r="P72">
        <v>0</v>
      </c>
      <c r="Q72">
        <f t="shared" si="3"/>
        <v>0</v>
      </c>
      <c r="S72">
        <v>0</v>
      </c>
      <c r="T72">
        <f t="shared" si="4"/>
        <v>0</v>
      </c>
      <c r="V72">
        <f>_xlfn.XLOOKUP(B72,[1]Sheet1!$B:$B,[1]Sheet1!$C:$C,0,0,1)</f>
        <v>0</v>
      </c>
      <c r="W72">
        <f t="shared" si="5"/>
        <v>0</v>
      </c>
    </row>
    <row r="73" spans="1:23" x14ac:dyDescent="0.2">
      <c r="A73">
        <v>14089</v>
      </c>
      <c r="B73" t="s">
        <v>110</v>
      </c>
      <c r="C73">
        <v>54504</v>
      </c>
      <c r="D73" t="s">
        <v>111</v>
      </c>
      <c r="E73" s="6">
        <v>12.470000267028809</v>
      </c>
      <c r="G73">
        <v>0</v>
      </c>
      <c r="H73">
        <f t="shared" si="0"/>
        <v>0</v>
      </c>
      <c r="J73">
        <v>0</v>
      </c>
      <c r="K73">
        <f t="shared" si="1"/>
        <v>0</v>
      </c>
      <c r="M73">
        <v>0</v>
      </c>
      <c r="N73">
        <f t="shared" si="2"/>
        <v>0</v>
      </c>
      <c r="P73">
        <v>0</v>
      </c>
      <c r="Q73">
        <f t="shared" si="3"/>
        <v>0</v>
      </c>
      <c r="S73">
        <v>0</v>
      </c>
      <c r="T73">
        <f t="shared" si="4"/>
        <v>0</v>
      </c>
      <c r="V73">
        <f>_xlfn.XLOOKUP(B73,[1]Sheet1!$B:$B,[1]Sheet1!$C:$C,0,0,1)</f>
        <v>0</v>
      </c>
      <c r="W73">
        <f t="shared" si="5"/>
        <v>0</v>
      </c>
    </row>
    <row r="74" spans="1:23" x14ac:dyDescent="0.2">
      <c r="A74">
        <v>14277</v>
      </c>
      <c r="B74" t="s">
        <v>112</v>
      </c>
      <c r="C74">
        <v>21576</v>
      </c>
      <c r="D74" t="s">
        <v>113</v>
      </c>
      <c r="E74" s="6">
        <v>38.340000152587891</v>
      </c>
      <c r="G74">
        <v>0</v>
      </c>
      <c r="H74">
        <f t="shared" si="0"/>
        <v>0</v>
      </c>
      <c r="J74">
        <v>14</v>
      </c>
      <c r="K74">
        <f t="shared" si="1"/>
        <v>5.3676000213623044E-3</v>
      </c>
      <c r="M74">
        <v>8</v>
      </c>
      <c r="N74">
        <f t="shared" si="2"/>
        <v>3.0672000122070314E-3</v>
      </c>
      <c r="P74">
        <v>0</v>
      </c>
      <c r="Q74">
        <f t="shared" si="3"/>
        <v>0</v>
      </c>
      <c r="S74">
        <v>14</v>
      </c>
      <c r="T74">
        <f t="shared" si="4"/>
        <v>5.3676000213623044E-3</v>
      </c>
      <c r="V74">
        <f>_xlfn.XLOOKUP(B74,[1]Sheet1!$B:$B,[1]Sheet1!$C:$C,0,0,1)</f>
        <v>0</v>
      </c>
      <c r="W74">
        <f t="shared" si="5"/>
        <v>0</v>
      </c>
    </row>
    <row r="75" spans="1:23" x14ac:dyDescent="0.2">
      <c r="A75">
        <v>14297</v>
      </c>
      <c r="B75" t="s">
        <v>114</v>
      </c>
      <c r="C75">
        <v>54641</v>
      </c>
      <c r="D75" t="s">
        <v>115</v>
      </c>
      <c r="E75" s="6">
        <v>130.67999267578125</v>
      </c>
      <c r="G75">
        <v>1</v>
      </c>
      <c r="H75">
        <f t="shared" si="0"/>
        <v>1.3067999267578124E-3</v>
      </c>
      <c r="J75">
        <v>0</v>
      </c>
      <c r="K75">
        <f t="shared" si="1"/>
        <v>0</v>
      </c>
      <c r="M75">
        <v>1</v>
      </c>
      <c r="N75">
        <f t="shared" si="2"/>
        <v>1.3067999267578124E-3</v>
      </c>
      <c r="P75">
        <v>0</v>
      </c>
      <c r="Q75">
        <f t="shared" si="3"/>
        <v>0</v>
      </c>
      <c r="S75">
        <v>0</v>
      </c>
      <c r="T75">
        <f t="shared" si="4"/>
        <v>0</v>
      </c>
      <c r="V75">
        <f>_xlfn.XLOOKUP(B75,[1]Sheet1!$B:$B,[1]Sheet1!$C:$C,0,0,1)</f>
        <v>0</v>
      </c>
      <c r="W75">
        <f t="shared" si="5"/>
        <v>0</v>
      </c>
    </row>
    <row r="76" spans="1:23" x14ac:dyDescent="0.2">
      <c r="A76">
        <v>14338</v>
      </c>
      <c r="B76" t="s">
        <v>116</v>
      </c>
      <c r="C76">
        <v>54672</v>
      </c>
      <c r="D76" t="s">
        <v>117</v>
      </c>
      <c r="E76" s="6">
        <v>247.16000366210938</v>
      </c>
      <c r="G76">
        <v>2</v>
      </c>
      <c r="H76">
        <f t="shared" si="0"/>
        <v>4.9432000732421875E-3</v>
      </c>
      <c r="J76">
        <v>0</v>
      </c>
      <c r="K76">
        <f t="shared" si="1"/>
        <v>0</v>
      </c>
      <c r="M76">
        <v>1</v>
      </c>
      <c r="N76">
        <f t="shared" si="2"/>
        <v>2.4716000366210938E-3</v>
      </c>
      <c r="P76">
        <v>5</v>
      </c>
      <c r="Q76">
        <f t="shared" si="3"/>
        <v>1.2358000183105469E-2</v>
      </c>
      <c r="S76">
        <v>0</v>
      </c>
      <c r="T76">
        <f t="shared" si="4"/>
        <v>0</v>
      </c>
      <c r="V76">
        <f>_xlfn.XLOOKUP(B76,[1]Sheet1!$B:$B,[1]Sheet1!$C:$C,0,0,1)</f>
        <v>0</v>
      </c>
      <c r="W76">
        <f t="shared" si="5"/>
        <v>0</v>
      </c>
    </row>
    <row r="77" spans="1:23" x14ac:dyDescent="0.2">
      <c r="A77">
        <v>14541</v>
      </c>
      <c r="B77" t="s">
        <v>118</v>
      </c>
      <c r="C77">
        <v>20440</v>
      </c>
      <c r="D77" t="s">
        <v>119</v>
      </c>
      <c r="E77" s="6">
        <v>144.83999633789062</v>
      </c>
      <c r="G77">
        <v>0</v>
      </c>
      <c r="H77">
        <f t="shared" si="0"/>
        <v>0</v>
      </c>
      <c r="J77">
        <v>3</v>
      </c>
      <c r="K77">
        <f t="shared" si="1"/>
        <v>4.3451998901367188E-3</v>
      </c>
      <c r="M77">
        <v>2</v>
      </c>
      <c r="N77">
        <f t="shared" si="2"/>
        <v>2.8967999267578127E-3</v>
      </c>
      <c r="P77">
        <v>0</v>
      </c>
      <c r="Q77">
        <f t="shared" si="3"/>
        <v>0</v>
      </c>
      <c r="S77">
        <v>3</v>
      </c>
      <c r="T77">
        <f t="shared" si="4"/>
        <v>4.3451998901367188E-3</v>
      </c>
      <c r="V77">
        <f>_xlfn.XLOOKUP(B77,[1]Sheet1!$B:$B,[1]Sheet1!$C:$C,0,0,1)</f>
        <v>0</v>
      </c>
      <c r="W77">
        <f t="shared" si="5"/>
        <v>0</v>
      </c>
    </row>
    <row r="78" spans="1:23" x14ac:dyDescent="0.2">
      <c r="A78">
        <v>14542</v>
      </c>
      <c r="B78" t="s">
        <v>120</v>
      </c>
      <c r="C78">
        <v>45483</v>
      </c>
      <c r="D78" t="s">
        <v>121</v>
      </c>
      <c r="E78" s="6">
        <v>190.44000244140625</v>
      </c>
      <c r="G78">
        <v>2</v>
      </c>
      <c r="H78">
        <f t="shared" si="0"/>
        <v>3.8088000488281249E-3</v>
      </c>
      <c r="J78">
        <v>1</v>
      </c>
      <c r="K78">
        <f t="shared" si="1"/>
        <v>1.9044000244140625E-3</v>
      </c>
      <c r="M78">
        <v>0</v>
      </c>
      <c r="N78">
        <f t="shared" si="2"/>
        <v>0</v>
      </c>
      <c r="P78">
        <v>6</v>
      </c>
      <c r="Q78">
        <f t="shared" si="3"/>
        <v>1.1426400146484375E-2</v>
      </c>
      <c r="S78">
        <v>1</v>
      </c>
      <c r="T78">
        <f t="shared" si="4"/>
        <v>1.9044000244140625E-3</v>
      </c>
      <c r="V78">
        <f>_xlfn.XLOOKUP(B78,[1]Sheet1!$B:$B,[1]Sheet1!$C:$C,0,0,1)</f>
        <v>0</v>
      </c>
      <c r="W78">
        <f t="shared" si="5"/>
        <v>0</v>
      </c>
    </row>
    <row r="79" spans="1:23" x14ac:dyDescent="0.2">
      <c r="A79">
        <v>14579</v>
      </c>
      <c r="B79" t="s">
        <v>122</v>
      </c>
      <c r="C79">
        <v>54812</v>
      </c>
      <c r="D79" t="s">
        <v>123</v>
      </c>
      <c r="E79" s="6">
        <v>204.97000122070312</v>
      </c>
      <c r="G79">
        <v>0</v>
      </c>
      <c r="H79">
        <f t="shared" si="0"/>
        <v>0</v>
      </c>
      <c r="J79">
        <v>0</v>
      </c>
      <c r="K79">
        <f t="shared" si="1"/>
        <v>0</v>
      </c>
      <c r="M79">
        <v>0</v>
      </c>
      <c r="N79">
        <f t="shared" si="2"/>
        <v>0</v>
      </c>
      <c r="P79">
        <v>0</v>
      </c>
      <c r="Q79">
        <f t="shared" si="3"/>
        <v>0</v>
      </c>
      <c r="S79">
        <v>2</v>
      </c>
      <c r="T79">
        <f t="shared" si="4"/>
        <v>4.0994000244140624E-3</v>
      </c>
      <c r="V79">
        <f>_xlfn.XLOOKUP(B79,[1]Sheet1!$B:$B,[1]Sheet1!$C:$C,0,0,1)</f>
        <v>0</v>
      </c>
      <c r="W79">
        <f t="shared" si="5"/>
        <v>0</v>
      </c>
    </row>
    <row r="80" spans="1:23" x14ac:dyDescent="0.2">
      <c r="A80">
        <v>14593</v>
      </c>
      <c r="B80" t="s">
        <v>124</v>
      </c>
      <c r="C80">
        <v>7</v>
      </c>
      <c r="D80" t="s">
        <v>125</v>
      </c>
      <c r="E80" s="6">
        <v>250.41999816894531</v>
      </c>
      <c r="G80">
        <v>1</v>
      </c>
      <c r="H80">
        <f t="shared" ref="H80:H143" si="6">G80*E80/$C$5</f>
        <v>2.5041999816894532E-3</v>
      </c>
      <c r="J80">
        <v>1</v>
      </c>
      <c r="K80">
        <f t="shared" ref="K80:K143" si="7">J80*E80/$C$5</f>
        <v>2.5041999816894532E-3</v>
      </c>
      <c r="M80">
        <v>1</v>
      </c>
      <c r="N80">
        <f t="shared" ref="N80:N143" si="8">M80*E80/$C$5</f>
        <v>2.5041999816894532E-3</v>
      </c>
      <c r="P80">
        <v>4</v>
      </c>
      <c r="Q80">
        <f t="shared" ref="Q80:Q143" si="9">P80*E80/$C$5</f>
        <v>1.0016799926757813E-2</v>
      </c>
      <c r="S80">
        <v>2</v>
      </c>
      <c r="T80">
        <f t="shared" ref="T80:T143" si="10">S80*E80/$C$5</f>
        <v>5.0083999633789063E-3</v>
      </c>
      <c r="V80">
        <f>_xlfn.XLOOKUP(B80,[1]Sheet1!$B:$B,[1]Sheet1!$C:$C,0,0,1)</f>
        <v>0</v>
      </c>
      <c r="W80">
        <f t="shared" ref="W80:W143" si="11">V80*E80/$C$5</f>
        <v>0</v>
      </c>
    </row>
    <row r="81" spans="1:23" x14ac:dyDescent="0.2">
      <c r="A81">
        <v>14702</v>
      </c>
      <c r="B81" t="s">
        <v>126</v>
      </c>
      <c r="C81">
        <v>194</v>
      </c>
      <c r="D81" t="s">
        <v>127</v>
      </c>
      <c r="E81" s="6">
        <v>162.6300048828125</v>
      </c>
      <c r="G81">
        <v>2</v>
      </c>
      <c r="H81">
        <f t="shared" si="6"/>
        <v>3.2526000976562499E-3</v>
      </c>
      <c r="J81">
        <v>1</v>
      </c>
      <c r="K81">
        <f t="shared" si="7"/>
        <v>1.6263000488281249E-3</v>
      </c>
      <c r="M81">
        <v>1</v>
      </c>
      <c r="N81">
        <f t="shared" si="8"/>
        <v>1.6263000488281249E-3</v>
      </c>
      <c r="P81">
        <v>0</v>
      </c>
      <c r="Q81">
        <f t="shared" si="9"/>
        <v>0</v>
      </c>
      <c r="S81">
        <v>3</v>
      </c>
      <c r="T81">
        <f t="shared" si="10"/>
        <v>4.8789001464843752E-3</v>
      </c>
      <c r="V81">
        <f>_xlfn.XLOOKUP(B81,[1]Sheet1!$B:$B,[1]Sheet1!$C:$C,0,0,1)</f>
        <v>0</v>
      </c>
      <c r="W81">
        <f t="shared" si="11"/>
        <v>0</v>
      </c>
    </row>
    <row r="82" spans="1:23" x14ac:dyDescent="0.2">
      <c r="A82">
        <v>14714</v>
      </c>
      <c r="B82" t="s">
        <v>128</v>
      </c>
      <c r="C82">
        <v>54907</v>
      </c>
      <c r="D82" t="s">
        <v>129</v>
      </c>
      <c r="E82" s="6">
        <v>110.52999877929688</v>
      </c>
      <c r="G82">
        <v>10</v>
      </c>
      <c r="H82">
        <f t="shared" si="6"/>
        <v>1.1052999877929688E-2</v>
      </c>
      <c r="J82">
        <v>0</v>
      </c>
      <c r="K82">
        <f t="shared" si="7"/>
        <v>0</v>
      </c>
      <c r="M82">
        <v>1</v>
      </c>
      <c r="N82">
        <f t="shared" si="8"/>
        <v>1.1052999877929689E-3</v>
      </c>
      <c r="P82">
        <v>0</v>
      </c>
      <c r="Q82">
        <f t="shared" si="9"/>
        <v>0</v>
      </c>
      <c r="S82">
        <v>1</v>
      </c>
      <c r="T82">
        <f t="shared" si="10"/>
        <v>1.1052999877929689E-3</v>
      </c>
      <c r="V82">
        <f>_xlfn.XLOOKUP(B82,[1]Sheet1!$B:$B,[1]Sheet1!$C:$C,0,0,1)</f>
        <v>0</v>
      </c>
      <c r="W82">
        <f t="shared" si="11"/>
        <v>0</v>
      </c>
    </row>
    <row r="83" spans="1:23" x14ac:dyDescent="0.2">
      <c r="A83">
        <v>14776</v>
      </c>
      <c r="B83" t="s">
        <v>130</v>
      </c>
      <c r="C83">
        <v>54936</v>
      </c>
      <c r="D83" t="s">
        <v>131</v>
      </c>
      <c r="E83" s="6">
        <v>65</v>
      </c>
      <c r="G83">
        <v>6</v>
      </c>
      <c r="H83">
        <f t="shared" si="6"/>
        <v>3.8999999999999998E-3</v>
      </c>
      <c r="J83">
        <v>11</v>
      </c>
      <c r="K83">
        <f t="shared" si="7"/>
        <v>7.1500000000000001E-3</v>
      </c>
      <c r="M83">
        <v>3</v>
      </c>
      <c r="N83">
        <f t="shared" si="8"/>
        <v>1.9499999999999999E-3</v>
      </c>
      <c r="P83">
        <v>13</v>
      </c>
      <c r="Q83">
        <f t="shared" si="9"/>
        <v>8.4499999999999992E-3</v>
      </c>
      <c r="S83">
        <v>8</v>
      </c>
      <c r="T83">
        <f t="shared" si="10"/>
        <v>5.1999999999999998E-3</v>
      </c>
      <c r="V83">
        <f>_xlfn.XLOOKUP(B83,[1]Sheet1!$B:$B,[1]Sheet1!$C:$C,0,0,1)</f>
        <v>0</v>
      </c>
      <c r="W83">
        <f t="shared" si="11"/>
        <v>0</v>
      </c>
    </row>
    <row r="84" spans="1:23" x14ac:dyDescent="0.2">
      <c r="A84">
        <v>14882</v>
      </c>
      <c r="B84" t="s">
        <v>132</v>
      </c>
      <c r="C84">
        <v>55000</v>
      </c>
      <c r="D84" t="s">
        <v>133</v>
      </c>
      <c r="E84" s="6">
        <v>33.419998168945312</v>
      </c>
      <c r="G84">
        <v>0</v>
      </c>
      <c r="H84">
        <f t="shared" si="6"/>
        <v>0</v>
      </c>
      <c r="J84">
        <v>0</v>
      </c>
      <c r="K84">
        <f t="shared" si="7"/>
        <v>0</v>
      </c>
      <c r="M84">
        <v>4</v>
      </c>
      <c r="N84">
        <f t="shared" si="8"/>
        <v>1.3367999267578125E-3</v>
      </c>
      <c r="P84">
        <v>0</v>
      </c>
      <c r="Q84">
        <f t="shared" si="9"/>
        <v>0</v>
      </c>
      <c r="S84">
        <v>0</v>
      </c>
      <c r="T84">
        <f t="shared" si="10"/>
        <v>0</v>
      </c>
      <c r="V84">
        <f>_xlfn.XLOOKUP(B84,[1]Sheet1!$B:$B,[1]Sheet1!$C:$C,0,0,1)</f>
        <v>0</v>
      </c>
      <c r="W84">
        <f t="shared" si="11"/>
        <v>0</v>
      </c>
    </row>
    <row r="85" spans="1:23" x14ac:dyDescent="0.2">
      <c r="A85">
        <v>14889</v>
      </c>
      <c r="B85" t="s">
        <v>134</v>
      </c>
      <c r="C85">
        <v>55006</v>
      </c>
      <c r="D85" t="s">
        <v>135</v>
      </c>
      <c r="E85" s="6">
        <v>43.759998321533203</v>
      </c>
      <c r="G85">
        <v>1</v>
      </c>
      <c r="H85">
        <f t="shared" si="6"/>
        <v>4.3759998321533201E-4</v>
      </c>
      <c r="J85">
        <v>0</v>
      </c>
      <c r="K85">
        <f t="shared" si="7"/>
        <v>0</v>
      </c>
      <c r="M85">
        <v>6</v>
      </c>
      <c r="N85">
        <f t="shared" si="8"/>
        <v>2.6255998992919922E-3</v>
      </c>
      <c r="P85">
        <v>0</v>
      </c>
      <c r="Q85">
        <f t="shared" si="9"/>
        <v>0</v>
      </c>
      <c r="S85">
        <v>0</v>
      </c>
      <c r="T85">
        <f t="shared" si="10"/>
        <v>0</v>
      </c>
      <c r="V85">
        <f>_xlfn.XLOOKUP(B85,[1]Sheet1!$B:$B,[1]Sheet1!$C:$C,0,0,1)</f>
        <v>0</v>
      </c>
      <c r="W85">
        <f t="shared" si="11"/>
        <v>0</v>
      </c>
    </row>
    <row r="86" spans="1:23" x14ac:dyDescent="0.2">
      <c r="A86">
        <v>14939</v>
      </c>
      <c r="B86" t="s">
        <v>136</v>
      </c>
      <c r="C86">
        <v>55033</v>
      </c>
      <c r="D86" t="s">
        <v>137</v>
      </c>
      <c r="E86" s="6">
        <v>160.6300048828125</v>
      </c>
      <c r="G86">
        <v>0</v>
      </c>
      <c r="H86">
        <f t="shared" si="6"/>
        <v>0</v>
      </c>
      <c r="J86">
        <v>5</v>
      </c>
      <c r="K86">
        <f t="shared" si="7"/>
        <v>8.0315002441406248E-3</v>
      </c>
      <c r="M86">
        <v>0</v>
      </c>
      <c r="N86">
        <f t="shared" si="8"/>
        <v>0</v>
      </c>
      <c r="P86">
        <v>0</v>
      </c>
      <c r="Q86">
        <f t="shared" si="9"/>
        <v>0</v>
      </c>
      <c r="S86">
        <v>3</v>
      </c>
      <c r="T86">
        <f t="shared" si="10"/>
        <v>4.8189001464843751E-3</v>
      </c>
      <c r="V86">
        <f>_xlfn.XLOOKUP(B86,[1]Sheet1!$B:$B,[1]Sheet1!$C:$C,0,0,1)</f>
        <v>0</v>
      </c>
      <c r="W86">
        <f t="shared" si="11"/>
        <v>0</v>
      </c>
    </row>
    <row r="87" spans="1:23" x14ac:dyDescent="0.2">
      <c r="A87">
        <v>15202</v>
      </c>
      <c r="B87" t="s">
        <v>138</v>
      </c>
      <c r="C87">
        <v>21876</v>
      </c>
      <c r="D87" t="s">
        <v>139</v>
      </c>
      <c r="E87" s="6">
        <v>257.23001098632812</v>
      </c>
      <c r="G87">
        <v>1</v>
      </c>
      <c r="H87">
        <f t="shared" si="6"/>
        <v>2.5723001098632813E-3</v>
      </c>
      <c r="J87">
        <v>0</v>
      </c>
      <c r="K87">
        <f t="shared" si="7"/>
        <v>0</v>
      </c>
      <c r="M87">
        <v>1</v>
      </c>
      <c r="N87">
        <f t="shared" si="8"/>
        <v>2.5723001098632813E-3</v>
      </c>
      <c r="P87">
        <v>0</v>
      </c>
      <c r="Q87">
        <f t="shared" si="9"/>
        <v>0</v>
      </c>
      <c r="S87">
        <v>0</v>
      </c>
      <c r="T87">
        <f t="shared" si="10"/>
        <v>0</v>
      </c>
      <c r="V87">
        <f>_xlfn.XLOOKUP(B87,[1]Sheet1!$B:$B,[1]Sheet1!$C:$C,0,0,1)</f>
        <v>0</v>
      </c>
      <c r="W87">
        <f t="shared" si="11"/>
        <v>0</v>
      </c>
    </row>
    <row r="88" spans="1:23" x14ac:dyDescent="0.2">
      <c r="A88">
        <v>15315</v>
      </c>
      <c r="B88" t="s">
        <v>1016</v>
      </c>
      <c r="C88">
        <v>55241</v>
      </c>
      <c r="D88" t="s">
        <v>1017</v>
      </c>
      <c r="E88" s="6">
        <v>197.3699951171875</v>
      </c>
      <c r="G88">
        <v>3</v>
      </c>
      <c r="H88">
        <f t="shared" si="6"/>
        <v>5.9210998535156253E-3</v>
      </c>
      <c r="J88">
        <v>0</v>
      </c>
      <c r="K88">
        <f t="shared" si="7"/>
        <v>0</v>
      </c>
      <c r="M88">
        <v>1</v>
      </c>
      <c r="N88">
        <f t="shared" si="8"/>
        <v>1.973699951171875E-3</v>
      </c>
      <c r="P88">
        <v>4</v>
      </c>
      <c r="Q88">
        <f t="shared" si="9"/>
        <v>7.8947998046874999E-3</v>
      </c>
      <c r="S88">
        <v>0</v>
      </c>
      <c r="T88">
        <f t="shared" si="10"/>
        <v>0</v>
      </c>
      <c r="V88">
        <f>_xlfn.XLOOKUP(B88,[1]Sheet1!$B:$B,[1]Sheet1!$C:$C,0,0,1)</f>
        <v>0</v>
      </c>
      <c r="W88">
        <f t="shared" si="11"/>
        <v>0</v>
      </c>
    </row>
    <row r="89" spans="1:23" x14ac:dyDescent="0.2">
      <c r="A89">
        <v>15408</v>
      </c>
      <c r="B89" t="s">
        <v>140</v>
      </c>
      <c r="C89">
        <v>55296</v>
      </c>
      <c r="D89" t="s">
        <v>141</v>
      </c>
      <c r="E89" s="6">
        <v>30.709999084472656</v>
      </c>
      <c r="G89">
        <v>0</v>
      </c>
      <c r="H89">
        <f t="shared" si="6"/>
        <v>0</v>
      </c>
      <c r="J89">
        <v>30</v>
      </c>
      <c r="K89">
        <f t="shared" si="7"/>
        <v>9.2129997253417965E-3</v>
      </c>
      <c r="M89">
        <v>9</v>
      </c>
      <c r="N89">
        <f t="shared" si="8"/>
        <v>2.7638999176025389E-3</v>
      </c>
      <c r="P89">
        <v>0</v>
      </c>
      <c r="Q89">
        <f t="shared" si="9"/>
        <v>0</v>
      </c>
      <c r="S89">
        <v>42</v>
      </c>
      <c r="T89">
        <f t="shared" si="10"/>
        <v>1.2898199615478516E-2</v>
      </c>
      <c r="V89">
        <f>_xlfn.XLOOKUP(B89,[1]Sheet1!$B:$B,[1]Sheet1!$C:$C,0,0,1)</f>
        <v>1</v>
      </c>
      <c r="W89">
        <f t="shared" si="11"/>
        <v>3.0709999084472655E-4</v>
      </c>
    </row>
    <row r="90" spans="1:23" x14ac:dyDescent="0.2">
      <c r="A90">
        <v>15488</v>
      </c>
      <c r="B90" t="s">
        <v>142</v>
      </c>
      <c r="C90">
        <v>55341</v>
      </c>
      <c r="D90" t="s">
        <v>143</v>
      </c>
      <c r="E90" s="6">
        <v>85.349998474121094</v>
      </c>
      <c r="G90">
        <v>1</v>
      </c>
      <c r="H90">
        <f t="shared" si="6"/>
        <v>8.5349998474121096E-4</v>
      </c>
      <c r="J90">
        <v>0</v>
      </c>
      <c r="K90">
        <f t="shared" si="7"/>
        <v>0</v>
      </c>
      <c r="M90">
        <v>1</v>
      </c>
      <c r="N90">
        <f t="shared" si="8"/>
        <v>8.5349998474121096E-4</v>
      </c>
      <c r="P90">
        <v>9</v>
      </c>
      <c r="Q90">
        <f t="shared" si="9"/>
        <v>7.6814998626708987E-3</v>
      </c>
      <c r="S90">
        <v>0</v>
      </c>
      <c r="T90">
        <f t="shared" si="10"/>
        <v>0</v>
      </c>
      <c r="V90">
        <f>_xlfn.XLOOKUP(B90,[1]Sheet1!$B:$B,[1]Sheet1!$C:$C,0,0,1)</f>
        <v>0</v>
      </c>
      <c r="W90">
        <f t="shared" si="11"/>
        <v>0</v>
      </c>
    </row>
    <row r="91" spans="1:23" x14ac:dyDescent="0.2">
      <c r="A91">
        <v>15579</v>
      </c>
      <c r="B91" t="s">
        <v>144</v>
      </c>
      <c r="C91">
        <v>21737</v>
      </c>
      <c r="D91" t="s">
        <v>145</v>
      </c>
      <c r="E91" s="6">
        <v>187.50999450683594</v>
      </c>
      <c r="G91">
        <v>0</v>
      </c>
      <c r="H91">
        <f t="shared" si="6"/>
        <v>0</v>
      </c>
      <c r="J91">
        <v>0</v>
      </c>
      <c r="K91">
        <f t="shared" si="7"/>
        <v>0</v>
      </c>
      <c r="M91">
        <v>1</v>
      </c>
      <c r="N91">
        <f t="shared" si="8"/>
        <v>1.8750999450683594E-3</v>
      </c>
      <c r="P91">
        <v>0</v>
      </c>
      <c r="Q91">
        <f t="shared" si="9"/>
        <v>0</v>
      </c>
      <c r="S91">
        <v>0</v>
      </c>
      <c r="T91">
        <f t="shared" si="10"/>
        <v>0</v>
      </c>
      <c r="V91">
        <f>_xlfn.XLOOKUP(B91,[1]Sheet1!$B:$B,[1]Sheet1!$C:$C,0,0,1)</f>
        <v>0</v>
      </c>
      <c r="W91">
        <f t="shared" si="11"/>
        <v>0</v>
      </c>
    </row>
    <row r="92" spans="1:23" x14ac:dyDescent="0.2">
      <c r="A92">
        <v>15707</v>
      </c>
      <c r="B92" t="s">
        <v>146</v>
      </c>
      <c r="C92">
        <v>55421</v>
      </c>
      <c r="D92" t="s">
        <v>147</v>
      </c>
      <c r="E92" s="6">
        <v>21.350000381469727</v>
      </c>
      <c r="G92">
        <v>6</v>
      </c>
      <c r="H92">
        <f t="shared" si="6"/>
        <v>1.2810000228881836E-3</v>
      </c>
      <c r="J92">
        <v>0</v>
      </c>
      <c r="K92">
        <f t="shared" si="7"/>
        <v>0</v>
      </c>
      <c r="M92">
        <v>15</v>
      </c>
      <c r="N92">
        <f t="shared" si="8"/>
        <v>3.2025000572204589E-3</v>
      </c>
      <c r="P92">
        <v>30</v>
      </c>
      <c r="Q92">
        <f t="shared" si="9"/>
        <v>6.4050001144409178E-3</v>
      </c>
      <c r="S92">
        <v>0</v>
      </c>
      <c r="T92">
        <f t="shared" si="10"/>
        <v>0</v>
      </c>
      <c r="V92">
        <f>_xlfn.XLOOKUP(B92,[1]Sheet1!$B:$B,[1]Sheet1!$C:$C,0,0,1)</f>
        <v>0</v>
      </c>
      <c r="W92">
        <f t="shared" si="11"/>
        <v>0</v>
      </c>
    </row>
    <row r="93" spans="1:23" x14ac:dyDescent="0.2">
      <c r="A93">
        <v>15720</v>
      </c>
      <c r="B93" t="s">
        <v>148</v>
      </c>
      <c r="C93">
        <v>21543</v>
      </c>
      <c r="D93" t="s">
        <v>149</v>
      </c>
      <c r="E93" s="6">
        <v>79.839996337890625</v>
      </c>
      <c r="G93">
        <v>1</v>
      </c>
      <c r="H93">
        <f t="shared" si="6"/>
        <v>7.9839996337890626E-4</v>
      </c>
      <c r="J93">
        <v>4</v>
      </c>
      <c r="K93">
        <f t="shared" si="7"/>
        <v>3.193599853515625E-3</v>
      </c>
      <c r="M93">
        <v>3</v>
      </c>
      <c r="N93">
        <f t="shared" si="8"/>
        <v>2.3951998901367189E-3</v>
      </c>
      <c r="P93">
        <v>0</v>
      </c>
      <c r="Q93">
        <f t="shared" si="9"/>
        <v>0</v>
      </c>
      <c r="S93">
        <v>4</v>
      </c>
      <c r="T93">
        <f t="shared" si="10"/>
        <v>3.193599853515625E-3</v>
      </c>
      <c r="V93">
        <f>_xlfn.XLOOKUP(B93,[1]Sheet1!$B:$B,[1]Sheet1!$C:$C,0,0,1)</f>
        <v>0</v>
      </c>
      <c r="W93">
        <f t="shared" si="11"/>
        <v>0</v>
      </c>
    </row>
    <row r="94" spans="1:23" x14ac:dyDescent="0.2">
      <c r="A94">
        <v>15850</v>
      </c>
      <c r="B94" t="s">
        <v>150</v>
      </c>
      <c r="C94">
        <v>55487</v>
      </c>
      <c r="D94" t="s">
        <v>151</v>
      </c>
      <c r="E94" s="6">
        <v>32.709999084472656</v>
      </c>
      <c r="G94">
        <v>0</v>
      </c>
      <c r="H94">
        <f t="shared" si="6"/>
        <v>0</v>
      </c>
      <c r="J94">
        <v>0</v>
      </c>
      <c r="K94">
        <f t="shared" si="7"/>
        <v>0</v>
      </c>
      <c r="M94">
        <v>3</v>
      </c>
      <c r="N94">
        <f t="shared" si="8"/>
        <v>9.8129997253417964E-4</v>
      </c>
      <c r="P94">
        <v>0</v>
      </c>
      <c r="Q94">
        <f t="shared" si="9"/>
        <v>0</v>
      </c>
      <c r="S94">
        <v>0</v>
      </c>
      <c r="T94">
        <f t="shared" si="10"/>
        <v>0</v>
      </c>
      <c r="V94">
        <f>_xlfn.XLOOKUP(B94,[1]Sheet1!$B:$B,[1]Sheet1!$C:$C,0,0,1)</f>
        <v>0</v>
      </c>
      <c r="W94">
        <f t="shared" si="11"/>
        <v>0</v>
      </c>
    </row>
    <row r="95" spans="1:23" x14ac:dyDescent="0.2">
      <c r="A95">
        <v>16087</v>
      </c>
      <c r="B95" t="s">
        <v>152</v>
      </c>
      <c r="C95">
        <v>55585</v>
      </c>
      <c r="D95" t="s">
        <v>153</v>
      </c>
      <c r="E95" s="6">
        <v>75</v>
      </c>
      <c r="G95">
        <v>3</v>
      </c>
      <c r="H95">
        <f t="shared" si="6"/>
        <v>2.2499999999999998E-3</v>
      </c>
      <c r="J95">
        <v>0</v>
      </c>
      <c r="K95">
        <f t="shared" si="7"/>
        <v>0</v>
      </c>
      <c r="M95">
        <v>3</v>
      </c>
      <c r="N95">
        <f t="shared" si="8"/>
        <v>2.2499999999999998E-3</v>
      </c>
      <c r="P95">
        <v>0</v>
      </c>
      <c r="Q95">
        <f t="shared" si="9"/>
        <v>0</v>
      </c>
      <c r="S95">
        <v>0</v>
      </c>
      <c r="T95">
        <f t="shared" si="10"/>
        <v>0</v>
      </c>
      <c r="V95">
        <f>_xlfn.XLOOKUP(B95,[1]Sheet1!$B:$B,[1]Sheet1!$C:$C,0,0,1)</f>
        <v>0</v>
      </c>
      <c r="W95">
        <f t="shared" si="11"/>
        <v>0</v>
      </c>
    </row>
    <row r="96" spans="1:23" x14ac:dyDescent="0.2">
      <c r="A96">
        <v>16431</v>
      </c>
      <c r="B96" t="s">
        <v>154</v>
      </c>
      <c r="C96">
        <v>55778</v>
      </c>
      <c r="D96" t="s">
        <v>155</v>
      </c>
      <c r="E96" s="6">
        <v>66.830001831054688</v>
      </c>
      <c r="G96">
        <v>0</v>
      </c>
      <c r="H96">
        <f t="shared" si="6"/>
        <v>0</v>
      </c>
      <c r="J96">
        <v>0</v>
      </c>
      <c r="K96">
        <f t="shared" si="7"/>
        <v>0</v>
      </c>
      <c r="M96">
        <v>3</v>
      </c>
      <c r="N96">
        <f t="shared" si="8"/>
        <v>2.0049000549316408E-3</v>
      </c>
      <c r="P96">
        <v>0</v>
      </c>
      <c r="Q96">
        <f t="shared" si="9"/>
        <v>0</v>
      </c>
      <c r="S96">
        <v>3</v>
      </c>
      <c r="T96">
        <f t="shared" si="10"/>
        <v>2.0049000549316408E-3</v>
      </c>
      <c r="V96">
        <f>_xlfn.XLOOKUP(B96,[1]Sheet1!$B:$B,[1]Sheet1!$C:$C,0,0,1)</f>
        <v>0</v>
      </c>
      <c r="W96">
        <f t="shared" si="11"/>
        <v>0</v>
      </c>
    </row>
    <row r="97" spans="1:23" x14ac:dyDescent="0.2">
      <c r="A97">
        <v>16581</v>
      </c>
      <c r="B97" t="s">
        <v>156</v>
      </c>
      <c r="C97">
        <v>55858</v>
      </c>
      <c r="D97" t="s">
        <v>157</v>
      </c>
      <c r="E97" s="6">
        <v>31.969999313354492</v>
      </c>
      <c r="G97">
        <v>1</v>
      </c>
      <c r="H97">
        <f t="shared" si="6"/>
        <v>3.1969999313354491E-4</v>
      </c>
      <c r="J97">
        <v>1</v>
      </c>
      <c r="K97">
        <f t="shared" si="7"/>
        <v>3.1969999313354491E-4</v>
      </c>
      <c r="M97">
        <v>6</v>
      </c>
      <c r="N97">
        <f t="shared" si="8"/>
        <v>1.9181999588012695E-3</v>
      </c>
      <c r="P97">
        <v>0</v>
      </c>
      <c r="Q97">
        <f t="shared" si="9"/>
        <v>0</v>
      </c>
      <c r="S97">
        <v>0</v>
      </c>
      <c r="T97">
        <f t="shared" si="10"/>
        <v>0</v>
      </c>
      <c r="V97">
        <f>_xlfn.XLOOKUP(B97,[1]Sheet1!$B:$B,[1]Sheet1!$C:$C,0,0,1)</f>
        <v>0</v>
      </c>
      <c r="W97">
        <f t="shared" si="11"/>
        <v>0</v>
      </c>
    </row>
    <row r="98" spans="1:23" x14ac:dyDescent="0.2">
      <c r="A98">
        <v>16600</v>
      </c>
      <c r="B98" t="s">
        <v>158</v>
      </c>
      <c r="C98">
        <v>20906</v>
      </c>
      <c r="D98" t="s">
        <v>159</v>
      </c>
      <c r="E98" s="6">
        <v>169.35000610351562</v>
      </c>
      <c r="G98">
        <v>0</v>
      </c>
      <c r="H98">
        <f t="shared" si="6"/>
        <v>0</v>
      </c>
      <c r="J98">
        <v>6</v>
      </c>
      <c r="K98">
        <f t="shared" si="7"/>
        <v>1.0161000366210938E-2</v>
      </c>
      <c r="M98">
        <v>1</v>
      </c>
      <c r="N98">
        <f t="shared" si="8"/>
        <v>1.6935000610351562E-3</v>
      </c>
      <c r="P98">
        <v>0</v>
      </c>
      <c r="Q98">
        <f t="shared" si="9"/>
        <v>0</v>
      </c>
      <c r="S98">
        <v>7</v>
      </c>
      <c r="T98">
        <f t="shared" si="10"/>
        <v>1.1854500427246093E-2</v>
      </c>
      <c r="V98">
        <f>_xlfn.XLOOKUP(B98,[1]Sheet1!$B:$B,[1]Sheet1!$C:$C,0,0,1)</f>
        <v>0</v>
      </c>
      <c r="W98">
        <f t="shared" si="11"/>
        <v>0</v>
      </c>
    </row>
    <row r="99" spans="1:23" x14ac:dyDescent="0.2">
      <c r="A99">
        <v>16678</v>
      </c>
      <c r="B99" t="s">
        <v>160</v>
      </c>
      <c r="C99">
        <v>21068</v>
      </c>
      <c r="D99" t="s">
        <v>161</v>
      </c>
      <c r="E99" s="6">
        <v>61.150001525878906</v>
      </c>
      <c r="G99">
        <v>2</v>
      </c>
      <c r="H99">
        <f t="shared" si="6"/>
        <v>1.2230000305175782E-3</v>
      </c>
      <c r="J99">
        <v>0</v>
      </c>
      <c r="K99">
        <f t="shared" si="7"/>
        <v>0</v>
      </c>
      <c r="M99">
        <v>3</v>
      </c>
      <c r="N99">
        <f t="shared" si="8"/>
        <v>1.8345000457763673E-3</v>
      </c>
      <c r="P99">
        <v>14</v>
      </c>
      <c r="Q99">
        <f t="shared" si="9"/>
        <v>8.5610002136230472E-3</v>
      </c>
      <c r="S99">
        <v>0</v>
      </c>
      <c r="T99">
        <f t="shared" si="10"/>
        <v>0</v>
      </c>
      <c r="V99">
        <f>_xlfn.XLOOKUP(B99,[1]Sheet1!$B:$B,[1]Sheet1!$C:$C,0,0,1)</f>
        <v>0</v>
      </c>
      <c r="W99">
        <f t="shared" si="11"/>
        <v>0</v>
      </c>
    </row>
    <row r="100" spans="1:23" x14ac:dyDescent="0.2">
      <c r="A100">
        <v>16692</v>
      </c>
      <c r="B100" t="s">
        <v>162</v>
      </c>
      <c r="C100">
        <v>55928</v>
      </c>
      <c r="D100" t="s">
        <v>163</v>
      </c>
      <c r="E100" s="6">
        <v>90.459999084472656</v>
      </c>
      <c r="G100">
        <v>3</v>
      </c>
      <c r="H100">
        <f t="shared" si="6"/>
        <v>2.7137999725341797E-3</v>
      </c>
      <c r="J100">
        <v>0</v>
      </c>
      <c r="K100">
        <f t="shared" si="7"/>
        <v>0</v>
      </c>
      <c r="M100">
        <v>2</v>
      </c>
      <c r="N100">
        <f t="shared" si="8"/>
        <v>1.8091999816894531E-3</v>
      </c>
      <c r="P100">
        <v>0</v>
      </c>
      <c r="Q100">
        <f t="shared" si="9"/>
        <v>0</v>
      </c>
      <c r="S100">
        <v>0</v>
      </c>
      <c r="T100">
        <f t="shared" si="10"/>
        <v>0</v>
      </c>
      <c r="V100">
        <f>_xlfn.XLOOKUP(B100,[1]Sheet1!$B:$B,[1]Sheet1!$C:$C,0,0,1)</f>
        <v>0</v>
      </c>
      <c r="W100">
        <f t="shared" si="11"/>
        <v>0</v>
      </c>
    </row>
    <row r="101" spans="1:23" x14ac:dyDescent="0.2">
      <c r="A101">
        <v>16736</v>
      </c>
      <c r="B101" t="s">
        <v>1018</v>
      </c>
      <c r="C101">
        <v>55954</v>
      </c>
      <c r="D101" t="s">
        <v>1019</v>
      </c>
      <c r="E101" s="6">
        <v>137.8699951171875</v>
      </c>
      <c r="G101">
        <v>14</v>
      </c>
      <c r="H101">
        <f t="shared" si="6"/>
        <v>1.930179931640625E-2</v>
      </c>
      <c r="J101">
        <v>4</v>
      </c>
      <c r="K101">
        <f t="shared" si="7"/>
        <v>5.5147998046874997E-3</v>
      </c>
      <c r="M101">
        <v>2</v>
      </c>
      <c r="N101">
        <f t="shared" si="8"/>
        <v>2.7573999023437499E-3</v>
      </c>
      <c r="P101">
        <v>2</v>
      </c>
      <c r="Q101">
        <f t="shared" si="9"/>
        <v>2.7573999023437499E-3</v>
      </c>
      <c r="S101">
        <v>5</v>
      </c>
      <c r="T101">
        <f t="shared" si="10"/>
        <v>6.8934997558593751E-3</v>
      </c>
      <c r="V101">
        <f>_xlfn.XLOOKUP(B101,[1]Sheet1!$B:$B,[1]Sheet1!$C:$C,0,0,1)</f>
        <v>0</v>
      </c>
      <c r="W101">
        <f t="shared" si="11"/>
        <v>0</v>
      </c>
    </row>
    <row r="102" spans="1:23" x14ac:dyDescent="0.2">
      <c r="A102">
        <v>16851</v>
      </c>
      <c r="B102" t="s">
        <v>164</v>
      </c>
      <c r="C102">
        <v>56027</v>
      </c>
      <c r="D102" t="s">
        <v>165</v>
      </c>
      <c r="E102" s="6">
        <v>76.25</v>
      </c>
      <c r="G102">
        <v>1</v>
      </c>
      <c r="H102">
        <f t="shared" si="6"/>
        <v>7.6250000000000005E-4</v>
      </c>
      <c r="J102">
        <v>0</v>
      </c>
      <c r="K102">
        <f t="shared" si="7"/>
        <v>0</v>
      </c>
      <c r="M102">
        <v>3</v>
      </c>
      <c r="N102">
        <f t="shared" si="8"/>
        <v>2.2875E-3</v>
      </c>
      <c r="P102">
        <v>0</v>
      </c>
      <c r="Q102">
        <f t="shared" si="9"/>
        <v>0</v>
      </c>
      <c r="S102">
        <v>0</v>
      </c>
      <c r="T102">
        <f t="shared" si="10"/>
        <v>0</v>
      </c>
      <c r="V102">
        <f>_xlfn.XLOOKUP(B102,[1]Sheet1!$B:$B,[1]Sheet1!$C:$C,0,0,1)</f>
        <v>0</v>
      </c>
      <c r="W102">
        <f t="shared" si="11"/>
        <v>0</v>
      </c>
    </row>
    <row r="103" spans="1:23" x14ac:dyDescent="0.2">
      <c r="A103">
        <v>17005</v>
      </c>
      <c r="B103" t="s">
        <v>166</v>
      </c>
      <c r="C103">
        <v>21185</v>
      </c>
      <c r="D103" t="s">
        <v>167</v>
      </c>
      <c r="E103" s="6">
        <v>44.889999389648438</v>
      </c>
      <c r="G103">
        <v>0</v>
      </c>
      <c r="H103">
        <f t="shared" si="6"/>
        <v>0</v>
      </c>
      <c r="J103">
        <v>0</v>
      </c>
      <c r="K103">
        <f t="shared" si="7"/>
        <v>0</v>
      </c>
      <c r="M103">
        <v>5</v>
      </c>
      <c r="N103">
        <f t="shared" si="8"/>
        <v>2.2444999694824219E-3</v>
      </c>
      <c r="P103">
        <v>0</v>
      </c>
      <c r="Q103">
        <f t="shared" si="9"/>
        <v>0</v>
      </c>
      <c r="S103">
        <v>0</v>
      </c>
      <c r="T103">
        <f t="shared" si="10"/>
        <v>0</v>
      </c>
      <c r="V103">
        <f>_xlfn.XLOOKUP(B103,[1]Sheet1!$B:$B,[1]Sheet1!$C:$C,0,0,1)</f>
        <v>0</v>
      </c>
      <c r="W103">
        <f t="shared" si="11"/>
        <v>0</v>
      </c>
    </row>
    <row r="104" spans="1:23" x14ac:dyDescent="0.2">
      <c r="A104">
        <v>17144</v>
      </c>
      <c r="B104" t="s">
        <v>168</v>
      </c>
      <c r="C104">
        <v>20798</v>
      </c>
      <c r="D104" t="s">
        <v>169</v>
      </c>
      <c r="E104" s="6">
        <v>63.770000457763672</v>
      </c>
      <c r="G104">
        <v>0</v>
      </c>
      <c r="H104">
        <f t="shared" si="6"/>
        <v>0</v>
      </c>
      <c r="J104">
        <v>27</v>
      </c>
      <c r="K104">
        <f t="shared" si="7"/>
        <v>1.721790012359619E-2</v>
      </c>
      <c r="M104">
        <v>3</v>
      </c>
      <c r="N104">
        <f t="shared" si="8"/>
        <v>1.9131000137329103E-3</v>
      </c>
      <c r="P104">
        <v>0</v>
      </c>
      <c r="Q104">
        <f t="shared" si="9"/>
        <v>0</v>
      </c>
      <c r="S104">
        <v>2</v>
      </c>
      <c r="T104">
        <f t="shared" si="10"/>
        <v>1.2754000091552734E-3</v>
      </c>
      <c r="V104">
        <f>_xlfn.XLOOKUP(B104,[1]Sheet1!$B:$B,[1]Sheet1!$C:$C,0,0,1)</f>
        <v>1</v>
      </c>
      <c r="W104">
        <f t="shared" si="11"/>
        <v>6.3770000457763671E-4</v>
      </c>
    </row>
    <row r="105" spans="1:23" x14ac:dyDescent="0.2">
      <c r="A105">
        <v>17307</v>
      </c>
      <c r="B105" t="s">
        <v>170</v>
      </c>
      <c r="C105">
        <v>56259</v>
      </c>
      <c r="D105" t="s">
        <v>171</v>
      </c>
      <c r="E105" s="6">
        <v>29.209999084472656</v>
      </c>
      <c r="G105">
        <v>0</v>
      </c>
      <c r="H105">
        <f t="shared" si="6"/>
        <v>0</v>
      </c>
      <c r="J105">
        <v>0</v>
      </c>
      <c r="K105">
        <f t="shared" si="7"/>
        <v>0</v>
      </c>
      <c r="M105">
        <v>7</v>
      </c>
      <c r="N105">
        <f t="shared" si="8"/>
        <v>2.0446999359130858E-3</v>
      </c>
      <c r="P105">
        <v>0</v>
      </c>
      <c r="Q105">
        <f t="shared" si="9"/>
        <v>0</v>
      </c>
      <c r="S105">
        <v>0</v>
      </c>
      <c r="T105">
        <f t="shared" si="10"/>
        <v>0</v>
      </c>
      <c r="V105">
        <f>_xlfn.XLOOKUP(B105,[1]Sheet1!$B:$B,[1]Sheet1!$C:$C,0,0,1)</f>
        <v>0</v>
      </c>
      <c r="W105">
        <f t="shared" si="11"/>
        <v>0</v>
      </c>
    </row>
    <row r="106" spans="1:23" x14ac:dyDescent="0.2">
      <c r="A106">
        <v>17478</v>
      </c>
      <c r="B106" t="s">
        <v>172</v>
      </c>
      <c r="C106">
        <v>21179</v>
      </c>
      <c r="D106" t="s">
        <v>173</v>
      </c>
      <c r="E106" s="6">
        <v>498.02999877929688</v>
      </c>
      <c r="G106">
        <v>0</v>
      </c>
      <c r="H106">
        <f t="shared" si="6"/>
        <v>0</v>
      </c>
      <c r="J106">
        <v>0</v>
      </c>
      <c r="K106">
        <f t="shared" si="7"/>
        <v>0</v>
      </c>
      <c r="M106">
        <v>0</v>
      </c>
      <c r="N106">
        <f t="shared" si="8"/>
        <v>0</v>
      </c>
      <c r="P106">
        <v>0</v>
      </c>
      <c r="Q106">
        <f t="shared" si="9"/>
        <v>0</v>
      </c>
      <c r="S106">
        <v>0</v>
      </c>
      <c r="T106">
        <f t="shared" si="10"/>
        <v>0</v>
      </c>
      <c r="V106">
        <f>_xlfn.XLOOKUP(B106,[1]Sheet1!$B:$B,[1]Sheet1!$C:$C,0,0,1)</f>
        <v>0</v>
      </c>
      <c r="W106">
        <f t="shared" si="11"/>
        <v>0</v>
      </c>
    </row>
    <row r="107" spans="1:23" x14ac:dyDescent="0.2">
      <c r="A107">
        <v>17700</v>
      </c>
      <c r="B107" t="s">
        <v>1020</v>
      </c>
      <c r="C107">
        <v>56345</v>
      </c>
      <c r="D107" t="s">
        <v>1021</v>
      </c>
      <c r="E107" s="6">
        <v>72.639999389648438</v>
      </c>
      <c r="G107">
        <v>1</v>
      </c>
      <c r="H107">
        <f t="shared" si="6"/>
        <v>7.263999938964844E-4</v>
      </c>
      <c r="J107">
        <v>0</v>
      </c>
      <c r="K107">
        <f t="shared" si="7"/>
        <v>0</v>
      </c>
      <c r="M107">
        <v>0</v>
      </c>
      <c r="N107">
        <f t="shared" si="8"/>
        <v>0</v>
      </c>
      <c r="P107">
        <v>0</v>
      </c>
      <c r="Q107">
        <f t="shared" si="9"/>
        <v>0</v>
      </c>
      <c r="S107">
        <v>0</v>
      </c>
      <c r="T107">
        <f t="shared" si="10"/>
        <v>0</v>
      </c>
      <c r="V107">
        <f>_xlfn.XLOOKUP(B107,[1]Sheet1!$B:$B,[1]Sheet1!$C:$C,0,0,1)</f>
        <v>0</v>
      </c>
      <c r="W107">
        <f t="shared" si="11"/>
        <v>0</v>
      </c>
    </row>
    <row r="108" spans="1:23" x14ac:dyDescent="0.2">
      <c r="A108">
        <v>17743</v>
      </c>
      <c r="B108" t="s">
        <v>174</v>
      </c>
      <c r="C108">
        <v>544</v>
      </c>
      <c r="D108" t="s">
        <v>175</v>
      </c>
      <c r="E108" s="6">
        <v>58.520000457763672</v>
      </c>
      <c r="G108">
        <v>2</v>
      </c>
      <c r="H108">
        <f t="shared" si="6"/>
        <v>1.1704000091552734E-3</v>
      </c>
      <c r="J108">
        <v>0</v>
      </c>
      <c r="K108">
        <f t="shared" si="7"/>
        <v>0</v>
      </c>
      <c r="M108">
        <v>4</v>
      </c>
      <c r="N108">
        <f t="shared" si="8"/>
        <v>2.3408000183105467E-3</v>
      </c>
      <c r="P108">
        <v>0</v>
      </c>
      <c r="Q108">
        <f t="shared" si="9"/>
        <v>0</v>
      </c>
      <c r="S108">
        <v>0</v>
      </c>
      <c r="T108">
        <f t="shared" si="10"/>
        <v>0</v>
      </c>
      <c r="V108">
        <f>_xlfn.XLOOKUP(B108,[1]Sheet1!$B:$B,[1]Sheet1!$C:$C,0,0,1)</f>
        <v>0</v>
      </c>
      <c r="W108">
        <f t="shared" si="11"/>
        <v>0</v>
      </c>
    </row>
    <row r="109" spans="1:23" x14ac:dyDescent="0.2">
      <c r="A109">
        <v>17750</v>
      </c>
      <c r="B109" t="s">
        <v>176</v>
      </c>
      <c r="C109">
        <v>21055</v>
      </c>
      <c r="D109" t="s">
        <v>177</v>
      </c>
      <c r="E109" s="6">
        <v>131.03999328613281</v>
      </c>
      <c r="G109">
        <v>0</v>
      </c>
      <c r="H109">
        <f t="shared" si="6"/>
        <v>0</v>
      </c>
      <c r="J109">
        <v>1</v>
      </c>
      <c r="K109">
        <f t="shared" si="7"/>
        <v>1.3103999328613282E-3</v>
      </c>
      <c r="M109">
        <v>2</v>
      </c>
      <c r="N109">
        <f t="shared" si="8"/>
        <v>2.6207998657226564E-3</v>
      </c>
      <c r="P109">
        <v>0</v>
      </c>
      <c r="Q109">
        <f t="shared" si="9"/>
        <v>0</v>
      </c>
      <c r="S109">
        <v>2</v>
      </c>
      <c r="T109">
        <f t="shared" si="10"/>
        <v>2.6207998657226564E-3</v>
      </c>
      <c r="V109">
        <f>_xlfn.XLOOKUP(B109,[1]Sheet1!$B:$B,[1]Sheet1!$C:$C,0,0,1)</f>
        <v>0</v>
      </c>
      <c r="W109">
        <f t="shared" si="11"/>
        <v>0</v>
      </c>
    </row>
    <row r="110" spans="1:23" x14ac:dyDescent="0.2">
      <c r="A110">
        <v>17830</v>
      </c>
      <c r="B110" t="s">
        <v>178</v>
      </c>
      <c r="C110">
        <v>21832</v>
      </c>
      <c r="D110" t="s">
        <v>179</v>
      </c>
      <c r="E110" s="6">
        <v>115.72000122070312</v>
      </c>
      <c r="G110">
        <v>1</v>
      </c>
      <c r="H110">
        <f t="shared" si="6"/>
        <v>1.1572000122070313E-3</v>
      </c>
      <c r="J110">
        <v>0</v>
      </c>
      <c r="K110">
        <f t="shared" si="7"/>
        <v>0</v>
      </c>
      <c r="M110">
        <v>3</v>
      </c>
      <c r="N110">
        <f t="shared" si="8"/>
        <v>3.4716000366210938E-3</v>
      </c>
      <c r="P110">
        <v>0</v>
      </c>
      <c r="Q110">
        <f t="shared" si="9"/>
        <v>0</v>
      </c>
      <c r="S110">
        <v>0</v>
      </c>
      <c r="T110">
        <f t="shared" si="10"/>
        <v>0</v>
      </c>
      <c r="V110">
        <f>_xlfn.XLOOKUP(B110,[1]Sheet1!$B:$B,[1]Sheet1!$C:$C,0,0,1)</f>
        <v>0</v>
      </c>
      <c r="W110">
        <f t="shared" si="11"/>
        <v>0</v>
      </c>
    </row>
    <row r="111" spans="1:23" x14ac:dyDescent="0.2">
      <c r="A111">
        <v>17942</v>
      </c>
      <c r="B111" t="s">
        <v>180</v>
      </c>
      <c r="C111">
        <v>56438</v>
      </c>
      <c r="D111" t="s">
        <v>181</v>
      </c>
      <c r="E111" s="6">
        <v>32.119998931884766</v>
      </c>
      <c r="G111">
        <v>0</v>
      </c>
      <c r="H111">
        <f t="shared" si="6"/>
        <v>0</v>
      </c>
      <c r="J111">
        <v>0</v>
      </c>
      <c r="K111">
        <f t="shared" si="7"/>
        <v>0</v>
      </c>
      <c r="M111">
        <v>7</v>
      </c>
      <c r="N111">
        <f t="shared" si="8"/>
        <v>2.2483999252319335E-3</v>
      </c>
      <c r="P111">
        <v>0</v>
      </c>
      <c r="Q111">
        <f t="shared" si="9"/>
        <v>0</v>
      </c>
      <c r="S111">
        <v>0</v>
      </c>
      <c r="T111">
        <f t="shared" si="10"/>
        <v>0</v>
      </c>
      <c r="V111">
        <f>_xlfn.XLOOKUP(B111,[1]Sheet1!$B:$B,[1]Sheet1!$C:$C,0,0,1)</f>
        <v>0</v>
      </c>
      <c r="W111">
        <f t="shared" si="11"/>
        <v>0</v>
      </c>
    </row>
    <row r="112" spans="1:23" x14ac:dyDescent="0.2">
      <c r="A112">
        <v>18143</v>
      </c>
      <c r="B112" t="s">
        <v>182</v>
      </c>
      <c r="C112">
        <v>56540</v>
      </c>
      <c r="D112" t="s">
        <v>183</v>
      </c>
      <c r="E112" s="6">
        <v>418.67001342773438</v>
      </c>
      <c r="G112">
        <v>0</v>
      </c>
      <c r="H112">
        <f t="shared" si="6"/>
        <v>0</v>
      </c>
      <c r="J112">
        <v>0</v>
      </c>
      <c r="K112">
        <f t="shared" si="7"/>
        <v>0</v>
      </c>
      <c r="M112">
        <v>1</v>
      </c>
      <c r="N112">
        <f t="shared" si="8"/>
        <v>4.1867001342773434E-3</v>
      </c>
      <c r="P112">
        <v>0</v>
      </c>
      <c r="Q112">
        <f t="shared" si="9"/>
        <v>0</v>
      </c>
      <c r="S112">
        <v>0</v>
      </c>
      <c r="T112">
        <f t="shared" si="10"/>
        <v>0</v>
      </c>
      <c r="V112">
        <f>_xlfn.XLOOKUP(B112,[1]Sheet1!$B:$B,[1]Sheet1!$C:$C,0,0,1)</f>
        <v>0</v>
      </c>
      <c r="W112">
        <f t="shared" si="11"/>
        <v>0</v>
      </c>
    </row>
    <row r="113" spans="1:23" x14ac:dyDescent="0.2">
      <c r="A113">
        <v>18163</v>
      </c>
      <c r="B113" t="s">
        <v>184</v>
      </c>
      <c r="C113">
        <v>21446</v>
      </c>
      <c r="D113" t="s">
        <v>185</v>
      </c>
      <c r="E113" s="6">
        <v>167.64999389648438</v>
      </c>
      <c r="G113">
        <v>0</v>
      </c>
      <c r="H113">
        <f t="shared" si="6"/>
        <v>0</v>
      </c>
      <c r="J113">
        <v>0</v>
      </c>
      <c r="K113">
        <f t="shared" si="7"/>
        <v>0</v>
      </c>
      <c r="M113">
        <v>2</v>
      </c>
      <c r="N113">
        <f t="shared" si="8"/>
        <v>3.3529998779296875E-3</v>
      </c>
      <c r="P113">
        <v>0</v>
      </c>
      <c r="Q113">
        <f t="shared" si="9"/>
        <v>0</v>
      </c>
      <c r="S113">
        <v>0</v>
      </c>
      <c r="T113">
        <f t="shared" si="10"/>
        <v>0</v>
      </c>
      <c r="V113">
        <f>_xlfn.XLOOKUP(B113,[1]Sheet1!$B:$B,[1]Sheet1!$C:$C,0,0,1)</f>
        <v>0</v>
      </c>
      <c r="W113">
        <f t="shared" si="11"/>
        <v>0</v>
      </c>
    </row>
    <row r="114" spans="1:23" x14ac:dyDescent="0.2">
      <c r="A114">
        <v>18224</v>
      </c>
      <c r="B114" t="s">
        <v>186</v>
      </c>
      <c r="C114">
        <v>56578</v>
      </c>
      <c r="D114" t="s">
        <v>187</v>
      </c>
      <c r="E114" s="6">
        <v>200.1199951171875</v>
      </c>
      <c r="G114">
        <v>1</v>
      </c>
      <c r="H114">
        <f t="shared" si="6"/>
        <v>2.0011999511718752E-3</v>
      </c>
      <c r="J114">
        <v>0</v>
      </c>
      <c r="K114">
        <f t="shared" si="7"/>
        <v>0</v>
      </c>
      <c r="M114">
        <v>0</v>
      </c>
      <c r="N114">
        <f t="shared" si="8"/>
        <v>0</v>
      </c>
      <c r="P114">
        <v>0</v>
      </c>
      <c r="Q114">
        <f t="shared" si="9"/>
        <v>0</v>
      </c>
      <c r="S114">
        <v>0</v>
      </c>
      <c r="T114">
        <f t="shared" si="10"/>
        <v>0</v>
      </c>
      <c r="V114">
        <f>_xlfn.XLOOKUP(B114,[1]Sheet1!$B:$B,[1]Sheet1!$C:$C,0,0,1)</f>
        <v>0</v>
      </c>
      <c r="W114">
        <f t="shared" si="11"/>
        <v>0</v>
      </c>
    </row>
    <row r="115" spans="1:23" x14ac:dyDescent="0.2">
      <c r="A115">
        <v>18267</v>
      </c>
      <c r="B115" t="s">
        <v>1022</v>
      </c>
      <c r="C115">
        <v>55676</v>
      </c>
      <c r="D115" t="s">
        <v>1023</v>
      </c>
      <c r="E115" s="6">
        <v>115.23999786376953</v>
      </c>
      <c r="G115">
        <v>6</v>
      </c>
      <c r="H115">
        <f t="shared" si="6"/>
        <v>6.9143998718261719E-3</v>
      </c>
      <c r="J115">
        <v>7</v>
      </c>
      <c r="K115">
        <f t="shared" si="7"/>
        <v>8.0667998504638672E-3</v>
      </c>
      <c r="M115">
        <v>2</v>
      </c>
      <c r="N115">
        <f t="shared" si="8"/>
        <v>2.3047999572753906E-3</v>
      </c>
      <c r="P115">
        <v>0</v>
      </c>
      <c r="Q115">
        <f t="shared" si="9"/>
        <v>0</v>
      </c>
      <c r="S115">
        <v>4</v>
      </c>
      <c r="T115">
        <f t="shared" si="10"/>
        <v>4.6095999145507813E-3</v>
      </c>
      <c r="V115">
        <f>_xlfn.XLOOKUP(B115,[1]Sheet1!$B:$B,[1]Sheet1!$C:$C,0,0,1)</f>
        <v>0</v>
      </c>
      <c r="W115">
        <f t="shared" si="11"/>
        <v>0</v>
      </c>
    </row>
    <row r="116" spans="1:23" x14ac:dyDescent="0.2">
      <c r="A116">
        <v>18312</v>
      </c>
      <c r="B116" t="s">
        <v>188</v>
      </c>
      <c r="C116">
        <v>56611</v>
      </c>
      <c r="D116" t="s">
        <v>189</v>
      </c>
      <c r="E116" s="6">
        <v>41.580001831054688</v>
      </c>
      <c r="G116">
        <v>0</v>
      </c>
      <c r="H116">
        <f t="shared" si="6"/>
        <v>0</v>
      </c>
      <c r="J116">
        <v>1</v>
      </c>
      <c r="K116">
        <f t="shared" si="7"/>
        <v>4.158000183105469E-4</v>
      </c>
      <c r="M116">
        <v>5</v>
      </c>
      <c r="N116">
        <f t="shared" si="8"/>
        <v>2.0790000915527343E-3</v>
      </c>
      <c r="P116">
        <v>0</v>
      </c>
      <c r="Q116">
        <f t="shared" si="9"/>
        <v>0</v>
      </c>
      <c r="S116">
        <v>3</v>
      </c>
      <c r="T116">
        <f t="shared" si="10"/>
        <v>1.2474000549316407E-3</v>
      </c>
      <c r="V116">
        <f>_xlfn.XLOOKUP(B116,[1]Sheet1!$B:$B,[1]Sheet1!$C:$C,0,0,1)</f>
        <v>0</v>
      </c>
      <c r="W116">
        <f t="shared" si="11"/>
        <v>0</v>
      </c>
    </row>
    <row r="117" spans="1:23" x14ac:dyDescent="0.2">
      <c r="A117">
        <v>18411</v>
      </c>
      <c r="B117" t="s">
        <v>190</v>
      </c>
      <c r="C117">
        <v>21640</v>
      </c>
      <c r="D117" t="s">
        <v>191</v>
      </c>
      <c r="E117" s="6">
        <v>82.319999694824219</v>
      </c>
      <c r="G117">
        <v>1</v>
      </c>
      <c r="H117">
        <f t="shared" si="6"/>
        <v>8.2319999694824221E-4</v>
      </c>
      <c r="J117">
        <v>0</v>
      </c>
      <c r="K117">
        <f t="shared" si="7"/>
        <v>0</v>
      </c>
      <c r="M117">
        <v>3</v>
      </c>
      <c r="N117">
        <f t="shared" si="8"/>
        <v>2.4695999908447264E-3</v>
      </c>
      <c r="P117">
        <v>0</v>
      </c>
      <c r="Q117">
        <f t="shared" si="9"/>
        <v>0</v>
      </c>
      <c r="S117">
        <v>0</v>
      </c>
      <c r="T117">
        <f t="shared" si="10"/>
        <v>0</v>
      </c>
      <c r="V117">
        <f>_xlfn.XLOOKUP(B117,[1]Sheet1!$B:$B,[1]Sheet1!$C:$C,0,0,1)</f>
        <v>0</v>
      </c>
      <c r="W117">
        <f t="shared" si="11"/>
        <v>0</v>
      </c>
    </row>
    <row r="118" spans="1:23" x14ac:dyDescent="0.2">
      <c r="A118">
        <v>18420</v>
      </c>
      <c r="B118" t="s">
        <v>192</v>
      </c>
      <c r="C118">
        <v>56662</v>
      </c>
      <c r="D118" t="s">
        <v>193</v>
      </c>
      <c r="E118" s="6">
        <v>48.580001831054688</v>
      </c>
      <c r="G118">
        <v>5</v>
      </c>
      <c r="H118">
        <f t="shared" si="6"/>
        <v>2.4290000915527343E-3</v>
      </c>
      <c r="J118">
        <v>0</v>
      </c>
      <c r="K118">
        <f t="shared" si="7"/>
        <v>0</v>
      </c>
      <c r="M118">
        <v>5</v>
      </c>
      <c r="N118">
        <f t="shared" si="8"/>
        <v>2.4290000915527343E-3</v>
      </c>
      <c r="P118">
        <v>19</v>
      </c>
      <c r="Q118">
        <f t="shared" si="9"/>
        <v>9.23020034790039E-3</v>
      </c>
      <c r="S118">
        <v>3</v>
      </c>
      <c r="T118">
        <f t="shared" si="10"/>
        <v>1.4574000549316406E-3</v>
      </c>
      <c r="V118">
        <f>_xlfn.XLOOKUP(B118,[1]Sheet1!$B:$B,[1]Sheet1!$C:$C,0,0,1)</f>
        <v>0</v>
      </c>
      <c r="W118">
        <f t="shared" si="11"/>
        <v>0</v>
      </c>
    </row>
    <row r="119" spans="1:23" x14ac:dyDescent="0.2">
      <c r="A119">
        <v>18421</v>
      </c>
      <c r="B119" t="s">
        <v>194</v>
      </c>
      <c r="C119">
        <v>56662</v>
      </c>
      <c r="D119" t="s">
        <v>193</v>
      </c>
      <c r="E119" s="6">
        <v>45.740001678466797</v>
      </c>
      <c r="G119">
        <v>5</v>
      </c>
      <c r="H119">
        <f t="shared" si="6"/>
        <v>2.28700008392334E-3</v>
      </c>
      <c r="J119">
        <v>0</v>
      </c>
      <c r="K119">
        <f t="shared" si="7"/>
        <v>0</v>
      </c>
      <c r="M119">
        <v>5</v>
      </c>
      <c r="N119">
        <f t="shared" si="8"/>
        <v>2.28700008392334E-3</v>
      </c>
      <c r="P119">
        <v>19</v>
      </c>
      <c r="Q119">
        <f t="shared" si="9"/>
        <v>8.6906003189086908E-3</v>
      </c>
      <c r="S119">
        <v>0</v>
      </c>
      <c r="T119">
        <f t="shared" si="10"/>
        <v>0</v>
      </c>
      <c r="V119">
        <f>_xlfn.XLOOKUP(B119,[1]Sheet1!$B:$B,[1]Sheet1!$C:$C,0,0,1)</f>
        <v>0</v>
      </c>
      <c r="W119">
        <f t="shared" si="11"/>
        <v>0</v>
      </c>
    </row>
    <row r="120" spans="1:23" x14ac:dyDescent="0.2">
      <c r="A120">
        <v>18428</v>
      </c>
      <c r="B120" t="s">
        <v>195</v>
      </c>
      <c r="C120">
        <v>56668</v>
      </c>
      <c r="D120" t="s">
        <v>196</v>
      </c>
      <c r="E120" s="6">
        <v>40.130001068115234</v>
      </c>
      <c r="G120">
        <v>0</v>
      </c>
      <c r="H120">
        <f t="shared" si="6"/>
        <v>0</v>
      </c>
      <c r="J120">
        <v>12</v>
      </c>
      <c r="K120">
        <f t="shared" si="7"/>
        <v>4.8156001281738281E-3</v>
      </c>
      <c r="M120">
        <v>8</v>
      </c>
      <c r="N120">
        <f t="shared" si="8"/>
        <v>3.2104000854492189E-3</v>
      </c>
      <c r="P120">
        <v>0</v>
      </c>
      <c r="Q120">
        <f t="shared" si="9"/>
        <v>0</v>
      </c>
      <c r="S120">
        <v>10</v>
      </c>
      <c r="T120">
        <f t="shared" si="10"/>
        <v>4.0130001068115232E-3</v>
      </c>
      <c r="V120">
        <f>_xlfn.XLOOKUP(B120,[1]Sheet1!$B:$B,[1]Sheet1!$C:$C,0,0,1)</f>
        <v>0</v>
      </c>
      <c r="W120">
        <f t="shared" si="11"/>
        <v>0</v>
      </c>
    </row>
    <row r="121" spans="1:23" x14ac:dyDescent="0.2">
      <c r="A121">
        <v>18542</v>
      </c>
      <c r="B121" t="s">
        <v>197</v>
      </c>
      <c r="C121">
        <v>20408</v>
      </c>
      <c r="D121" t="s">
        <v>198</v>
      </c>
      <c r="E121" s="6">
        <v>362.760009765625</v>
      </c>
      <c r="G121">
        <v>1</v>
      </c>
      <c r="H121">
        <f t="shared" si="6"/>
        <v>3.6276000976562502E-3</v>
      </c>
      <c r="J121">
        <v>1</v>
      </c>
      <c r="K121">
        <f t="shared" si="7"/>
        <v>3.6276000976562502E-3</v>
      </c>
      <c r="M121">
        <v>1</v>
      </c>
      <c r="N121">
        <f t="shared" si="8"/>
        <v>3.6276000976562502E-3</v>
      </c>
      <c r="P121">
        <v>0</v>
      </c>
      <c r="Q121">
        <f t="shared" si="9"/>
        <v>0</v>
      </c>
      <c r="S121">
        <v>2</v>
      </c>
      <c r="T121">
        <f t="shared" si="10"/>
        <v>7.2552001953125004E-3</v>
      </c>
      <c r="V121">
        <f>_xlfn.XLOOKUP(B121,[1]Sheet1!$B:$B,[1]Sheet1!$C:$C,0,0,1)</f>
        <v>0</v>
      </c>
      <c r="W121">
        <f t="shared" si="11"/>
        <v>0</v>
      </c>
    </row>
    <row r="122" spans="1:23" x14ac:dyDescent="0.2">
      <c r="A122">
        <v>18576</v>
      </c>
      <c r="B122" t="s">
        <v>199</v>
      </c>
      <c r="C122">
        <v>56719</v>
      </c>
      <c r="D122" t="s">
        <v>200</v>
      </c>
      <c r="E122" s="6">
        <v>60.319999694824219</v>
      </c>
      <c r="G122">
        <v>10</v>
      </c>
      <c r="H122">
        <f t="shared" si="6"/>
        <v>6.031999969482422E-3</v>
      </c>
      <c r="J122">
        <v>0</v>
      </c>
      <c r="K122">
        <f t="shared" si="7"/>
        <v>0</v>
      </c>
      <c r="M122">
        <v>1</v>
      </c>
      <c r="N122">
        <f t="shared" si="8"/>
        <v>6.0319999694824218E-4</v>
      </c>
      <c r="P122">
        <v>0</v>
      </c>
      <c r="Q122">
        <f t="shared" si="9"/>
        <v>0</v>
      </c>
      <c r="S122">
        <v>0</v>
      </c>
      <c r="T122">
        <f t="shared" si="10"/>
        <v>0</v>
      </c>
      <c r="V122">
        <f>_xlfn.XLOOKUP(B122,[1]Sheet1!$B:$B,[1]Sheet1!$C:$C,0,0,1)</f>
        <v>0</v>
      </c>
      <c r="W122">
        <f t="shared" si="11"/>
        <v>0</v>
      </c>
    </row>
    <row r="123" spans="1:23" x14ac:dyDescent="0.2">
      <c r="A123">
        <v>18592</v>
      </c>
      <c r="B123" t="s">
        <v>201</v>
      </c>
      <c r="C123">
        <v>56723</v>
      </c>
      <c r="D123" t="s">
        <v>202</v>
      </c>
      <c r="E123" s="6">
        <v>56.959999084472656</v>
      </c>
      <c r="G123">
        <v>0</v>
      </c>
      <c r="H123">
        <f t="shared" si="6"/>
        <v>0</v>
      </c>
      <c r="J123">
        <v>0</v>
      </c>
      <c r="K123">
        <f t="shared" si="7"/>
        <v>0</v>
      </c>
      <c r="M123">
        <v>4</v>
      </c>
      <c r="N123">
        <f t="shared" si="8"/>
        <v>2.2783999633789061E-3</v>
      </c>
      <c r="P123">
        <v>0</v>
      </c>
      <c r="Q123">
        <f t="shared" si="9"/>
        <v>0</v>
      </c>
      <c r="S123">
        <v>0</v>
      </c>
      <c r="T123">
        <f t="shared" si="10"/>
        <v>0</v>
      </c>
      <c r="V123">
        <f>_xlfn.XLOOKUP(B123,[1]Sheet1!$B:$B,[1]Sheet1!$C:$C,0,0,1)</f>
        <v>0</v>
      </c>
      <c r="W123">
        <f t="shared" si="11"/>
        <v>0</v>
      </c>
    </row>
    <row r="124" spans="1:23" x14ac:dyDescent="0.2">
      <c r="A124">
        <v>18724</v>
      </c>
      <c r="B124" t="s">
        <v>203</v>
      </c>
      <c r="C124">
        <v>56767</v>
      </c>
      <c r="D124" t="s">
        <v>204</v>
      </c>
      <c r="E124" s="6">
        <v>9.4099998474121094</v>
      </c>
      <c r="G124">
        <v>0</v>
      </c>
      <c r="H124">
        <f t="shared" si="6"/>
        <v>0</v>
      </c>
      <c r="J124">
        <v>9</v>
      </c>
      <c r="K124">
        <f t="shared" si="7"/>
        <v>8.4689998626708983E-4</v>
      </c>
      <c r="M124">
        <v>30</v>
      </c>
      <c r="N124">
        <f t="shared" si="8"/>
        <v>2.8229999542236329E-3</v>
      </c>
      <c r="P124">
        <v>0</v>
      </c>
      <c r="Q124">
        <f t="shared" si="9"/>
        <v>0</v>
      </c>
      <c r="S124">
        <v>11</v>
      </c>
      <c r="T124">
        <f t="shared" si="10"/>
        <v>1.0350999832153321E-3</v>
      </c>
      <c r="V124">
        <f>_xlfn.XLOOKUP(B124,[1]Sheet1!$B:$B,[1]Sheet1!$C:$C,0,0,1)</f>
        <v>0</v>
      </c>
      <c r="W124">
        <f t="shared" si="11"/>
        <v>0</v>
      </c>
    </row>
    <row r="125" spans="1:23" x14ac:dyDescent="0.2">
      <c r="A125">
        <v>18726</v>
      </c>
      <c r="B125" t="s">
        <v>1024</v>
      </c>
      <c r="C125">
        <v>56769</v>
      </c>
      <c r="D125" t="s">
        <v>1025</v>
      </c>
      <c r="E125" s="6">
        <v>342.16000366210938</v>
      </c>
      <c r="G125">
        <v>3</v>
      </c>
      <c r="H125">
        <f t="shared" si="6"/>
        <v>1.0264800109863281E-2</v>
      </c>
      <c r="J125">
        <v>1</v>
      </c>
      <c r="K125">
        <f t="shared" si="7"/>
        <v>3.4216000366210936E-3</v>
      </c>
      <c r="M125">
        <v>0</v>
      </c>
      <c r="N125">
        <f t="shared" si="8"/>
        <v>0</v>
      </c>
      <c r="P125">
        <v>0</v>
      </c>
      <c r="Q125">
        <f t="shared" si="9"/>
        <v>0</v>
      </c>
      <c r="S125">
        <v>1</v>
      </c>
      <c r="T125">
        <f t="shared" si="10"/>
        <v>3.4216000366210936E-3</v>
      </c>
      <c r="V125">
        <f>_xlfn.XLOOKUP(B125,[1]Sheet1!$B:$B,[1]Sheet1!$C:$C,0,0,1)</f>
        <v>0</v>
      </c>
      <c r="W125">
        <f t="shared" si="11"/>
        <v>0</v>
      </c>
    </row>
    <row r="126" spans="1:23" x14ac:dyDescent="0.2">
      <c r="A126">
        <v>18729</v>
      </c>
      <c r="B126" t="s">
        <v>205</v>
      </c>
      <c r="C126">
        <v>20473</v>
      </c>
      <c r="D126" t="s">
        <v>206</v>
      </c>
      <c r="E126" s="6">
        <v>90.910003662109375</v>
      </c>
      <c r="G126">
        <v>1</v>
      </c>
      <c r="H126">
        <f t="shared" si="6"/>
        <v>9.0910003662109378E-4</v>
      </c>
      <c r="J126">
        <v>26</v>
      </c>
      <c r="K126">
        <f t="shared" si="7"/>
        <v>2.3636600952148437E-2</v>
      </c>
      <c r="M126">
        <v>2</v>
      </c>
      <c r="N126">
        <f t="shared" si="8"/>
        <v>1.8182000732421876E-3</v>
      </c>
      <c r="P126">
        <v>0</v>
      </c>
      <c r="Q126">
        <f t="shared" si="9"/>
        <v>0</v>
      </c>
      <c r="S126">
        <v>31</v>
      </c>
      <c r="T126">
        <f t="shared" si="10"/>
        <v>2.8182101135253906E-2</v>
      </c>
      <c r="V126">
        <f>_xlfn.XLOOKUP(B126,[1]Sheet1!$B:$B,[1]Sheet1!$C:$C,0,0,1)</f>
        <v>1</v>
      </c>
      <c r="W126">
        <f t="shared" si="11"/>
        <v>9.0910003662109378E-4</v>
      </c>
    </row>
    <row r="127" spans="1:23" x14ac:dyDescent="0.2">
      <c r="A127">
        <v>19166</v>
      </c>
      <c r="B127" t="s">
        <v>207</v>
      </c>
      <c r="C127">
        <v>20681</v>
      </c>
      <c r="D127" t="s">
        <v>208</v>
      </c>
      <c r="E127" s="6">
        <v>48.610000610351562</v>
      </c>
      <c r="G127">
        <v>0</v>
      </c>
      <c r="H127">
        <f t="shared" si="6"/>
        <v>0</v>
      </c>
      <c r="J127">
        <v>0</v>
      </c>
      <c r="K127">
        <f t="shared" si="7"/>
        <v>0</v>
      </c>
      <c r="M127">
        <v>4</v>
      </c>
      <c r="N127">
        <f t="shared" si="8"/>
        <v>1.9444000244140626E-3</v>
      </c>
      <c r="P127">
        <v>0</v>
      </c>
      <c r="Q127">
        <f t="shared" si="9"/>
        <v>0</v>
      </c>
      <c r="S127">
        <v>0</v>
      </c>
      <c r="T127">
        <f t="shared" si="10"/>
        <v>0</v>
      </c>
      <c r="V127">
        <f>_xlfn.XLOOKUP(B127,[1]Sheet1!$B:$B,[1]Sheet1!$C:$C,0,0,1)</f>
        <v>0</v>
      </c>
      <c r="W127">
        <f t="shared" si="11"/>
        <v>0</v>
      </c>
    </row>
    <row r="128" spans="1:23" x14ac:dyDescent="0.2">
      <c r="A128">
        <v>19285</v>
      </c>
      <c r="B128" t="s">
        <v>209</v>
      </c>
      <c r="C128">
        <v>57036</v>
      </c>
      <c r="D128" t="s">
        <v>210</v>
      </c>
      <c r="E128" s="6">
        <v>68.260002136230469</v>
      </c>
      <c r="G128">
        <v>4</v>
      </c>
      <c r="H128">
        <f t="shared" si="6"/>
        <v>2.7304000854492189E-3</v>
      </c>
      <c r="J128">
        <v>0</v>
      </c>
      <c r="K128">
        <f t="shared" si="7"/>
        <v>0</v>
      </c>
      <c r="M128">
        <v>2</v>
      </c>
      <c r="N128">
        <f t="shared" si="8"/>
        <v>1.3652000427246094E-3</v>
      </c>
      <c r="P128">
        <v>0</v>
      </c>
      <c r="Q128">
        <f t="shared" si="9"/>
        <v>0</v>
      </c>
      <c r="S128">
        <v>0</v>
      </c>
      <c r="T128">
        <f t="shared" si="10"/>
        <v>0</v>
      </c>
      <c r="V128">
        <f>_xlfn.XLOOKUP(B128,[1]Sheet1!$B:$B,[1]Sheet1!$C:$C,0,0,1)</f>
        <v>0</v>
      </c>
      <c r="W128">
        <f t="shared" si="11"/>
        <v>0</v>
      </c>
    </row>
    <row r="129" spans="1:23" x14ac:dyDescent="0.2">
      <c r="A129">
        <v>19286</v>
      </c>
      <c r="B129" t="s">
        <v>211</v>
      </c>
      <c r="C129">
        <v>57037</v>
      </c>
      <c r="D129" t="s">
        <v>212</v>
      </c>
      <c r="E129" s="6">
        <v>92.610000610351562</v>
      </c>
      <c r="G129">
        <v>1</v>
      </c>
      <c r="H129">
        <f t="shared" si="6"/>
        <v>9.261000061035156E-4</v>
      </c>
      <c r="J129">
        <v>0</v>
      </c>
      <c r="K129">
        <f t="shared" si="7"/>
        <v>0</v>
      </c>
      <c r="M129">
        <v>3</v>
      </c>
      <c r="N129">
        <f t="shared" si="8"/>
        <v>2.7783000183105467E-3</v>
      </c>
      <c r="P129">
        <v>0</v>
      </c>
      <c r="Q129">
        <f t="shared" si="9"/>
        <v>0</v>
      </c>
      <c r="S129">
        <v>0</v>
      </c>
      <c r="T129">
        <f t="shared" si="10"/>
        <v>0</v>
      </c>
      <c r="V129">
        <f>_xlfn.XLOOKUP(B129,[1]Sheet1!$B:$B,[1]Sheet1!$C:$C,0,0,1)</f>
        <v>0</v>
      </c>
      <c r="W129">
        <f t="shared" si="11"/>
        <v>0</v>
      </c>
    </row>
    <row r="130" spans="1:23" x14ac:dyDescent="0.2">
      <c r="A130">
        <v>19350</v>
      </c>
      <c r="B130" t="s">
        <v>213</v>
      </c>
      <c r="C130">
        <v>20566</v>
      </c>
      <c r="D130" t="s">
        <v>214</v>
      </c>
      <c r="E130" s="6">
        <v>423.70001220703125</v>
      </c>
      <c r="G130">
        <v>0</v>
      </c>
      <c r="H130">
        <f t="shared" si="6"/>
        <v>0</v>
      </c>
      <c r="J130">
        <v>1</v>
      </c>
      <c r="K130">
        <f t="shared" si="7"/>
        <v>4.2370001220703125E-3</v>
      </c>
      <c r="M130">
        <v>1</v>
      </c>
      <c r="N130">
        <f t="shared" si="8"/>
        <v>4.2370001220703125E-3</v>
      </c>
      <c r="P130">
        <v>0</v>
      </c>
      <c r="Q130">
        <f t="shared" si="9"/>
        <v>0</v>
      </c>
      <c r="S130">
        <v>1</v>
      </c>
      <c r="T130">
        <f t="shared" si="10"/>
        <v>4.2370001220703125E-3</v>
      </c>
      <c r="V130">
        <f>_xlfn.XLOOKUP(B130,[1]Sheet1!$B:$B,[1]Sheet1!$C:$C,0,0,1)</f>
        <v>0</v>
      </c>
      <c r="W130">
        <f t="shared" si="11"/>
        <v>0</v>
      </c>
    </row>
    <row r="131" spans="1:23" x14ac:dyDescent="0.2">
      <c r="A131">
        <v>19393</v>
      </c>
      <c r="B131" t="s">
        <v>215</v>
      </c>
      <c r="C131">
        <v>20331</v>
      </c>
      <c r="D131" t="s">
        <v>216</v>
      </c>
      <c r="E131" s="6">
        <v>56.560001373291016</v>
      </c>
      <c r="G131">
        <v>0</v>
      </c>
      <c r="H131">
        <f t="shared" si="6"/>
        <v>0</v>
      </c>
      <c r="J131">
        <v>25</v>
      </c>
      <c r="K131">
        <f t="shared" si="7"/>
        <v>1.4140000343322754E-2</v>
      </c>
      <c r="M131">
        <v>3</v>
      </c>
      <c r="N131">
        <f t="shared" si="8"/>
        <v>1.6968000411987305E-3</v>
      </c>
      <c r="P131">
        <v>12</v>
      </c>
      <c r="Q131">
        <f t="shared" si="9"/>
        <v>6.7872001647949218E-3</v>
      </c>
      <c r="S131">
        <v>28</v>
      </c>
      <c r="T131">
        <f t="shared" si="10"/>
        <v>1.5836800384521486E-2</v>
      </c>
      <c r="V131">
        <f>_xlfn.XLOOKUP(B131,[1]Sheet1!$B:$B,[1]Sheet1!$C:$C,0,0,1)</f>
        <v>1</v>
      </c>
      <c r="W131">
        <f t="shared" si="11"/>
        <v>5.6560001373291019E-4</v>
      </c>
    </row>
    <row r="132" spans="1:23" x14ac:dyDescent="0.2">
      <c r="A132">
        <v>19502</v>
      </c>
      <c r="B132" t="s">
        <v>217</v>
      </c>
      <c r="C132">
        <v>21881</v>
      </c>
      <c r="D132" t="s">
        <v>218</v>
      </c>
      <c r="E132" s="6">
        <v>9.3299999237060547</v>
      </c>
      <c r="G132">
        <v>0</v>
      </c>
      <c r="H132">
        <f t="shared" si="6"/>
        <v>0</v>
      </c>
      <c r="J132">
        <v>0</v>
      </c>
      <c r="K132">
        <f t="shared" si="7"/>
        <v>0</v>
      </c>
      <c r="M132">
        <v>22</v>
      </c>
      <c r="N132">
        <f t="shared" si="8"/>
        <v>2.0525999832153321E-3</v>
      </c>
      <c r="P132">
        <v>0</v>
      </c>
      <c r="Q132">
        <f t="shared" si="9"/>
        <v>0</v>
      </c>
      <c r="S132">
        <v>0</v>
      </c>
      <c r="T132">
        <f t="shared" si="10"/>
        <v>0</v>
      </c>
      <c r="V132">
        <f>_xlfn.XLOOKUP(B132,[1]Sheet1!$B:$B,[1]Sheet1!$C:$C,0,0,1)</f>
        <v>0</v>
      </c>
      <c r="W132">
        <f t="shared" si="11"/>
        <v>0</v>
      </c>
    </row>
    <row r="133" spans="1:23" x14ac:dyDescent="0.2">
      <c r="A133">
        <v>19561</v>
      </c>
      <c r="B133" t="s">
        <v>219</v>
      </c>
      <c r="C133">
        <v>20315</v>
      </c>
      <c r="D133" t="s">
        <v>220</v>
      </c>
      <c r="E133" s="6">
        <v>177</v>
      </c>
      <c r="G133">
        <v>0</v>
      </c>
      <c r="H133">
        <f t="shared" si="6"/>
        <v>0</v>
      </c>
      <c r="J133">
        <v>0</v>
      </c>
      <c r="K133">
        <f t="shared" si="7"/>
        <v>0</v>
      </c>
      <c r="M133">
        <v>1</v>
      </c>
      <c r="N133">
        <f t="shared" si="8"/>
        <v>1.7700000000000001E-3</v>
      </c>
      <c r="P133">
        <v>0</v>
      </c>
      <c r="Q133">
        <f t="shared" si="9"/>
        <v>0</v>
      </c>
      <c r="S133">
        <v>0</v>
      </c>
      <c r="T133">
        <f t="shared" si="10"/>
        <v>0</v>
      </c>
      <c r="V133">
        <f>_xlfn.XLOOKUP(B133,[1]Sheet1!$B:$B,[1]Sheet1!$C:$C,0,0,1)</f>
        <v>0</v>
      </c>
      <c r="W133">
        <f t="shared" si="11"/>
        <v>0</v>
      </c>
    </row>
    <row r="134" spans="1:23" x14ac:dyDescent="0.2">
      <c r="A134">
        <v>19583</v>
      </c>
      <c r="B134" t="s">
        <v>221</v>
      </c>
      <c r="C134">
        <v>30929</v>
      </c>
      <c r="D134" t="s">
        <v>222</v>
      </c>
      <c r="E134" s="6">
        <v>17.479999542236328</v>
      </c>
      <c r="G134">
        <v>0</v>
      </c>
      <c r="H134">
        <f t="shared" si="6"/>
        <v>0</v>
      </c>
      <c r="J134">
        <v>0</v>
      </c>
      <c r="K134">
        <f t="shared" si="7"/>
        <v>0</v>
      </c>
      <c r="M134">
        <v>15</v>
      </c>
      <c r="N134">
        <f t="shared" si="8"/>
        <v>2.6219999313354492E-3</v>
      </c>
      <c r="P134">
        <v>0</v>
      </c>
      <c r="Q134">
        <f t="shared" si="9"/>
        <v>0</v>
      </c>
      <c r="S134">
        <v>0</v>
      </c>
      <c r="T134">
        <f t="shared" si="10"/>
        <v>0</v>
      </c>
      <c r="V134">
        <f>_xlfn.XLOOKUP(B134,[1]Sheet1!$B:$B,[1]Sheet1!$C:$C,0,0,1)</f>
        <v>0</v>
      </c>
      <c r="W134">
        <f t="shared" si="11"/>
        <v>0</v>
      </c>
    </row>
    <row r="135" spans="1:23" x14ac:dyDescent="0.2">
      <c r="A135">
        <v>19788</v>
      </c>
      <c r="B135" t="s">
        <v>1026</v>
      </c>
      <c r="C135">
        <v>57309</v>
      </c>
      <c r="D135" t="s">
        <v>1027</v>
      </c>
      <c r="E135" s="6">
        <v>75.629997253417969</v>
      </c>
      <c r="G135">
        <v>57</v>
      </c>
      <c r="H135">
        <f t="shared" si="6"/>
        <v>4.310909843444824E-2</v>
      </c>
      <c r="J135">
        <v>0</v>
      </c>
      <c r="K135">
        <f t="shared" si="7"/>
        <v>0</v>
      </c>
      <c r="M135">
        <v>4</v>
      </c>
      <c r="N135">
        <f t="shared" si="8"/>
        <v>3.0251998901367188E-3</v>
      </c>
      <c r="P135">
        <v>0</v>
      </c>
      <c r="Q135">
        <f t="shared" si="9"/>
        <v>0</v>
      </c>
      <c r="S135">
        <v>0</v>
      </c>
      <c r="T135">
        <f t="shared" si="10"/>
        <v>0</v>
      </c>
      <c r="V135">
        <f>_xlfn.XLOOKUP(B135,[1]Sheet1!$B:$B,[1]Sheet1!$C:$C,0,0,1)</f>
        <v>0</v>
      </c>
      <c r="W135">
        <f t="shared" si="11"/>
        <v>0</v>
      </c>
    </row>
    <row r="136" spans="1:23" x14ac:dyDescent="0.2">
      <c r="A136">
        <v>20057</v>
      </c>
      <c r="B136" t="s">
        <v>223</v>
      </c>
      <c r="C136">
        <v>57529</v>
      </c>
      <c r="D136" t="s">
        <v>224</v>
      </c>
      <c r="E136" s="6">
        <v>12.449999809265137</v>
      </c>
      <c r="G136">
        <v>4</v>
      </c>
      <c r="H136">
        <f t="shared" si="6"/>
        <v>4.9799999237060545E-4</v>
      </c>
      <c r="J136">
        <v>0</v>
      </c>
      <c r="K136">
        <f t="shared" si="7"/>
        <v>0</v>
      </c>
      <c r="M136">
        <v>25</v>
      </c>
      <c r="N136">
        <f t="shared" si="8"/>
        <v>3.1124999523162843E-3</v>
      </c>
      <c r="P136">
        <v>0</v>
      </c>
      <c r="Q136">
        <f t="shared" si="9"/>
        <v>0</v>
      </c>
      <c r="S136">
        <v>0</v>
      </c>
      <c r="T136">
        <f t="shared" si="10"/>
        <v>0</v>
      </c>
      <c r="V136">
        <f>_xlfn.XLOOKUP(B136,[1]Sheet1!$B:$B,[1]Sheet1!$C:$C,0,0,1)</f>
        <v>0</v>
      </c>
      <c r="W136">
        <f t="shared" si="11"/>
        <v>0</v>
      </c>
    </row>
    <row r="137" spans="1:23" x14ac:dyDescent="0.2">
      <c r="A137">
        <v>20190</v>
      </c>
      <c r="B137" t="s">
        <v>225</v>
      </c>
      <c r="C137">
        <v>57588</v>
      </c>
      <c r="D137" t="s">
        <v>226</v>
      </c>
      <c r="E137" s="6">
        <v>131.41000366210938</v>
      </c>
      <c r="G137">
        <v>2</v>
      </c>
      <c r="H137">
        <f t="shared" si="6"/>
        <v>2.6282000732421873E-3</v>
      </c>
      <c r="J137">
        <v>0</v>
      </c>
      <c r="K137">
        <f t="shared" si="7"/>
        <v>0</v>
      </c>
      <c r="M137">
        <v>1</v>
      </c>
      <c r="N137">
        <f t="shared" si="8"/>
        <v>1.3141000366210936E-3</v>
      </c>
      <c r="P137">
        <v>0</v>
      </c>
      <c r="Q137">
        <f t="shared" si="9"/>
        <v>0</v>
      </c>
      <c r="S137">
        <v>0</v>
      </c>
      <c r="T137">
        <f t="shared" si="10"/>
        <v>0</v>
      </c>
      <c r="V137">
        <f>_xlfn.XLOOKUP(B137,[1]Sheet1!$B:$B,[1]Sheet1!$C:$C,0,0,1)</f>
        <v>0</v>
      </c>
      <c r="W137">
        <f t="shared" si="11"/>
        <v>0</v>
      </c>
    </row>
    <row r="138" spans="1:23" x14ac:dyDescent="0.2">
      <c r="A138">
        <v>20391</v>
      </c>
      <c r="B138" t="s">
        <v>1028</v>
      </c>
      <c r="C138">
        <v>57695</v>
      </c>
      <c r="D138" t="s">
        <v>1029</v>
      </c>
      <c r="E138" s="6">
        <v>1105.9599609375</v>
      </c>
      <c r="G138">
        <v>0</v>
      </c>
      <c r="H138">
        <f t="shared" si="6"/>
        <v>0</v>
      </c>
      <c r="J138">
        <v>0</v>
      </c>
      <c r="K138">
        <f t="shared" si="7"/>
        <v>0</v>
      </c>
      <c r="M138">
        <v>0</v>
      </c>
      <c r="N138">
        <f t="shared" si="8"/>
        <v>0</v>
      </c>
      <c r="P138">
        <v>0</v>
      </c>
      <c r="Q138">
        <f t="shared" si="9"/>
        <v>0</v>
      </c>
      <c r="S138">
        <v>0</v>
      </c>
      <c r="T138">
        <f t="shared" si="10"/>
        <v>0</v>
      </c>
      <c r="V138">
        <f>_xlfn.XLOOKUP(B138,[1]Sheet1!$B:$B,[1]Sheet1!$C:$C,0,0,1)</f>
        <v>0</v>
      </c>
      <c r="W138">
        <f t="shared" si="11"/>
        <v>0</v>
      </c>
    </row>
    <row r="139" spans="1:23" x14ac:dyDescent="0.2">
      <c r="A139">
        <v>20482</v>
      </c>
      <c r="B139" t="s">
        <v>227</v>
      </c>
      <c r="C139">
        <v>20017</v>
      </c>
      <c r="D139" t="s">
        <v>228</v>
      </c>
      <c r="E139" s="6">
        <v>113.11000061035156</v>
      </c>
      <c r="G139">
        <v>0</v>
      </c>
      <c r="H139">
        <f t="shared" si="6"/>
        <v>0</v>
      </c>
      <c r="J139">
        <v>18</v>
      </c>
      <c r="K139">
        <f t="shared" si="7"/>
        <v>2.0359800109863282E-2</v>
      </c>
      <c r="M139">
        <v>2</v>
      </c>
      <c r="N139">
        <f t="shared" si="8"/>
        <v>2.2622000122070312E-3</v>
      </c>
      <c r="P139">
        <v>0</v>
      </c>
      <c r="Q139">
        <f t="shared" si="9"/>
        <v>0</v>
      </c>
      <c r="S139">
        <v>12</v>
      </c>
      <c r="T139">
        <f t="shared" si="10"/>
        <v>1.3573200073242187E-2</v>
      </c>
      <c r="V139">
        <f>_xlfn.XLOOKUP(B139,[1]Sheet1!$B:$B,[1]Sheet1!$C:$C,0,0,1)</f>
        <v>1</v>
      </c>
      <c r="W139">
        <f t="shared" si="11"/>
        <v>1.1311000061035156E-3</v>
      </c>
    </row>
    <row r="140" spans="1:23" x14ac:dyDescent="0.2">
      <c r="A140">
        <v>21178</v>
      </c>
      <c r="B140" t="s">
        <v>229</v>
      </c>
      <c r="C140">
        <v>21110</v>
      </c>
      <c r="D140" t="s">
        <v>230</v>
      </c>
      <c r="E140" s="6">
        <v>485.94000244140625</v>
      </c>
      <c r="G140">
        <v>0</v>
      </c>
      <c r="H140">
        <f t="shared" si="6"/>
        <v>0</v>
      </c>
      <c r="J140">
        <v>0</v>
      </c>
      <c r="K140">
        <f t="shared" si="7"/>
        <v>0</v>
      </c>
      <c r="M140">
        <v>1</v>
      </c>
      <c r="N140">
        <f t="shared" si="8"/>
        <v>4.8594000244140626E-3</v>
      </c>
      <c r="P140">
        <v>0</v>
      </c>
      <c r="Q140">
        <f t="shared" si="9"/>
        <v>0</v>
      </c>
      <c r="S140">
        <v>0</v>
      </c>
      <c r="T140">
        <f t="shared" si="10"/>
        <v>0</v>
      </c>
      <c r="V140">
        <f>_xlfn.XLOOKUP(B140,[1]Sheet1!$B:$B,[1]Sheet1!$C:$C,0,0,1)</f>
        <v>0</v>
      </c>
      <c r="W140">
        <f t="shared" si="11"/>
        <v>0</v>
      </c>
    </row>
    <row r="141" spans="1:23" x14ac:dyDescent="0.2">
      <c r="A141">
        <v>21207</v>
      </c>
      <c r="B141" t="s">
        <v>231</v>
      </c>
      <c r="C141">
        <v>21286</v>
      </c>
      <c r="D141" t="s">
        <v>232</v>
      </c>
      <c r="E141" s="6">
        <v>37.220001220703125</v>
      </c>
      <c r="G141">
        <v>0</v>
      </c>
      <c r="H141">
        <f t="shared" si="6"/>
        <v>0</v>
      </c>
      <c r="J141">
        <v>7</v>
      </c>
      <c r="K141">
        <f t="shared" si="7"/>
        <v>2.6054000854492188E-3</v>
      </c>
      <c r="M141">
        <v>6</v>
      </c>
      <c r="N141">
        <f t="shared" si="8"/>
        <v>2.2332000732421873E-3</v>
      </c>
      <c r="P141">
        <v>0</v>
      </c>
      <c r="Q141">
        <f t="shared" si="9"/>
        <v>0</v>
      </c>
      <c r="S141">
        <v>2</v>
      </c>
      <c r="T141">
        <f t="shared" si="10"/>
        <v>7.4440002441406245E-4</v>
      </c>
      <c r="V141">
        <f>_xlfn.XLOOKUP(B141,[1]Sheet1!$B:$B,[1]Sheet1!$C:$C,0,0,1)</f>
        <v>0</v>
      </c>
      <c r="W141">
        <f t="shared" si="11"/>
        <v>0</v>
      </c>
    </row>
    <row r="142" spans="1:23" x14ac:dyDescent="0.2">
      <c r="A142">
        <v>21371</v>
      </c>
      <c r="B142" t="s">
        <v>233</v>
      </c>
      <c r="C142">
        <v>6262</v>
      </c>
      <c r="D142" t="s">
        <v>234</v>
      </c>
      <c r="E142" s="6">
        <v>118.26999664306641</v>
      </c>
      <c r="G142">
        <v>2</v>
      </c>
      <c r="H142">
        <f t="shared" si="6"/>
        <v>2.3653999328613279E-3</v>
      </c>
      <c r="J142">
        <v>6</v>
      </c>
      <c r="K142">
        <f t="shared" si="7"/>
        <v>7.0961997985839846E-3</v>
      </c>
      <c r="M142">
        <v>2</v>
      </c>
      <c r="N142">
        <f t="shared" si="8"/>
        <v>2.3653999328613279E-3</v>
      </c>
      <c r="P142">
        <v>8</v>
      </c>
      <c r="Q142">
        <f t="shared" si="9"/>
        <v>9.4615997314453117E-3</v>
      </c>
      <c r="S142">
        <v>2</v>
      </c>
      <c r="T142">
        <f t="shared" si="10"/>
        <v>2.3653999328613279E-3</v>
      </c>
      <c r="V142">
        <f>_xlfn.XLOOKUP(B142,[1]Sheet1!$B:$B,[1]Sheet1!$C:$C,0,0,1)</f>
        <v>0</v>
      </c>
      <c r="W142">
        <f t="shared" si="11"/>
        <v>0</v>
      </c>
    </row>
    <row r="143" spans="1:23" x14ac:dyDescent="0.2">
      <c r="A143">
        <v>21413</v>
      </c>
      <c r="B143" t="s">
        <v>235</v>
      </c>
      <c r="C143">
        <v>56315</v>
      </c>
      <c r="D143" t="s">
        <v>236</v>
      </c>
      <c r="E143" s="6">
        <v>14.380000114440918</v>
      </c>
      <c r="G143">
        <v>28</v>
      </c>
      <c r="H143">
        <f t="shared" si="6"/>
        <v>4.0264000320434567E-3</v>
      </c>
      <c r="J143">
        <v>0</v>
      </c>
      <c r="K143">
        <f t="shared" si="7"/>
        <v>0</v>
      </c>
      <c r="M143">
        <v>0</v>
      </c>
      <c r="N143">
        <f t="shared" si="8"/>
        <v>0</v>
      </c>
      <c r="P143">
        <v>0</v>
      </c>
      <c r="Q143">
        <f t="shared" si="9"/>
        <v>0</v>
      </c>
      <c r="S143">
        <v>0</v>
      </c>
      <c r="T143">
        <f t="shared" si="10"/>
        <v>0</v>
      </c>
      <c r="V143">
        <f>_xlfn.XLOOKUP(B143,[1]Sheet1!$B:$B,[1]Sheet1!$C:$C,0,0,1)</f>
        <v>0</v>
      </c>
      <c r="W143">
        <f t="shared" si="11"/>
        <v>0</v>
      </c>
    </row>
    <row r="144" spans="1:23" x14ac:dyDescent="0.2">
      <c r="A144">
        <v>21573</v>
      </c>
      <c r="B144" t="s">
        <v>237</v>
      </c>
      <c r="C144">
        <v>20994</v>
      </c>
      <c r="D144" t="s">
        <v>238</v>
      </c>
      <c r="E144" s="6">
        <v>53.819999694824219</v>
      </c>
      <c r="G144">
        <v>4</v>
      </c>
      <c r="H144">
        <f t="shared" ref="H144:H207" si="12">G144*E144/$C$5</f>
        <v>2.1527999877929689E-3</v>
      </c>
      <c r="J144">
        <v>4</v>
      </c>
      <c r="K144">
        <f t="shared" ref="K144:K207" si="13">J144*E144/$C$5</f>
        <v>2.1527999877929689E-3</v>
      </c>
      <c r="M144">
        <v>5</v>
      </c>
      <c r="N144">
        <f t="shared" ref="N144:N207" si="14">M144*E144/$C$5</f>
        <v>2.6909999847412108E-3</v>
      </c>
      <c r="P144">
        <v>10</v>
      </c>
      <c r="Q144">
        <f t="shared" ref="Q144:Q207" si="15">P144*E144/$C$5</f>
        <v>5.3819999694824216E-3</v>
      </c>
      <c r="S144">
        <v>0</v>
      </c>
      <c r="T144">
        <f t="shared" ref="T144:T207" si="16">S144*E144/$C$5</f>
        <v>0</v>
      </c>
      <c r="V144">
        <f>_xlfn.XLOOKUP(B144,[1]Sheet1!$B:$B,[1]Sheet1!$C:$C,0,0,1)</f>
        <v>0</v>
      </c>
      <c r="W144">
        <f t="shared" ref="W144:W207" si="17">V144*E144/$C$5</f>
        <v>0</v>
      </c>
    </row>
    <row r="145" spans="1:23" x14ac:dyDescent="0.2">
      <c r="A145">
        <v>21776</v>
      </c>
      <c r="B145" t="s">
        <v>239</v>
      </c>
      <c r="C145">
        <v>21396</v>
      </c>
      <c r="D145" t="s">
        <v>240</v>
      </c>
      <c r="E145" s="6">
        <v>37.639999389648438</v>
      </c>
      <c r="G145">
        <v>0</v>
      </c>
      <c r="H145">
        <f t="shared" si="12"/>
        <v>0</v>
      </c>
      <c r="J145">
        <v>7</v>
      </c>
      <c r="K145">
        <f t="shared" si="13"/>
        <v>2.6347999572753906E-3</v>
      </c>
      <c r="M145">
        <v>7</v>
      </c>
      <c r="N145">
        <f t="shared" si="14"/>
        <v>2.6347999572753906E-3</v>
      </c>
      <c r="P145">
        <v>0</v>
      </c>
      <c r="Q145">
        <f t="shared" si="15"/>
        <v>0</v>
      </c>
      <c r="S145">
        <v>0</v>
      </c>
      <c r="T145">
        <f t="shared" si="16"/>
        <v>0</v>
      </c>
      <c r="V145">
        <f>_xlfn.XLOOKUP(B145,[1]Sheet1!$B:$B,[1]Sheet1!$C:$C,0,0,1)</f>
        <v>0</v>
      </c>
      <c r="W145">
        <f t="shared" si="17"/>
        <v>0</v>
      </c>
    </row>
    <row r="146" spans="1:23" x14ac:dyDescent="0.2">
      <c r="A146">
        <v>21792</v>
      </c>
      <c r="B146" t="s">
        <v>241</v>
      </c>
      <c r="C146">
        <v>20939</v>
      </c>
      <c r="D146" t="s">
        <v>242</v>
      </c>
      <c r="E146" s="6">
        <v>31.729999542236328</v>
      </c>
      <c r="G146">
        <v>1</v>
      </c>
      <c r="H146">
        <f t="shared" si="12"/>
        <v>3.172999954223633E-4</v>
      </c>
      <c r="J146">
        <v>0</v>
      </c>
      <c r="K146">
        <f t="shared" si="13"/>
        <v>0</v>
      </c>
      <c r="M146">
        <v>9</v>
      </c>
      <c r="N146">
        <f t="shared" si="14"/>
        <v>2.8556999588012695E-3</v>
      </c>
      <c r="P146">
        <v>34</v>
      </c>
      <c r="Q146">
        <f t="shared" si="15"/>
        <v>1.0788199844360351E-2</v>
      </c>
      <c r="S146">
        <v>0</v>
      </c>
      <c r="T146">
        <f t="shared" si="16"/>
        <v>0</v>
      </c>
      <c r="V146">
        <f>_xlfn.XLOOKUP(B146,[1]Sheet1!$B:$B,[1]Sheet1!$C:$C,0,0,1)</f>
        <v>0</v>
      </c>
      <c r="W146">
        <f t="shared" si="17"/>
        <v>0</v>
      </c>
    </row>
    <row r="147" spans="1:23" x14ac:dyDescent="0.2">
      <c r="A147">
        <v>21936</v>
      </c>
      <c r="B147" t="s">
        <v>243</v>
      </c>
      <c r="C147">
        <v>21394</v>
      </c>
      <c r="D147" t="s">
        <v>244</v>
      </c>
      <c r="E147" s="6">
        <v>26.530000686645508</v>
      </c>
      <c r="G147">
        <v>0</v>
      </c>
      <c r="H147">
        <f t="shared" si="12"/>
        <v>0</v>
      </c>
      <c r="J147">
        <v>26</v>
      </c>
      <c r="K147">
        <f t="shared" si="13"/>
        <v>6.8978001785278322E-3</v>
      </c>
      <c r="M147">
        <v>9</v>
      </c>
      <c r="N147">
        <f t="shared" si="14"/>
        <v>2.3877000617980957E-3</v>
      </c>
      <c r="P147">
        <v>0</v>
      </c>
      <c r="Q147">
        <f t="shared" si="15"/>
        <v>0</v>
      </c>
      <c r="S147">
        <v>25</v>
      </c>
      <c r="T147">
        <f t="shared" si="16"/>
        <v>6.6325001716613773E-3</v>
      </c>
      <c r="V147">
        <f>_xlfn.XLOOKUP(B147,[1]Sheet1!$B:$B,[1]Sheet1!$C:$C,0,0,1)</f>
        <v>1</v>
      </c>
      <c r="W147">
        <f t="shared" si="17"/>
        <v>2.653000068664551E-4</v>
      </c>
    </row>
    <row r="148" spans="1:23" x14ac:dyDescent="0.2">
      <c r="A148">
        <v>22103</v>
      </c>
      <c r="B148" t="s">
        <v>245</v>
      </c>
      <c r="C148">
        <v>20643</v>
      </c>
      <c r="D148" t="s">
        <v>246</v>
      </c>
      <c r="E148" s="6">
        <v>123.93000030517578</v>
      </c>
      <c r="G148">
        <v>1</v>
      </c>
      <c r="H148">
        <f t="shared" si="12"/>
        <v>1.2393000030517579E-3</v>
      </c>
      <c r="J148">
        <v>1</v>
      </c>
      <c r="K148">
        <f t="shared" si="13"/>
        <v>1.2393000030517579E-3</v>
      </c>
      <c r="M148">
        <v>2</v>
      </c>
      <c r="N148">
        <f t="shared" si="14"/>
        <v>2.4786000061035158E-3</v>
      </c>
      <c r="P148">
        <v>5</v>
      </c>
      <c r="Q148">
        <f t="shared" si="15"/>
        <v>6.1965000152587888E-3</v>
      </c>
      <c r="S148">
        <v>3</v>
      </c>
      <c r="T148">
        <f t="shared" si="16"/>
        <v>3.7179000091552734E-3</v>
      </c>
      <c r="V148">
        <f>_xlfn.XLOOKUP(B148,[1]Sheet1!$B:$B,[1]Sheet1!$C:$C,0,0,1)</f>
        <v>0</v>
      </c>
      <c r="W148">
        <f t="shared" si="17"/>
        <v>0</v>
      </c>
    </row>
    <row r="149" spans="1:23" x14ac:dyDescent="0.2">
      <c r="A149">
        <v>22111</v>
      </c>
      <c r="B149" t="s">
        <v>247</v>
      </c>
      <c r="C149">
        <v>21018</v>
      </c>
      <c r="D149" t="s">
        <v>248</v>
      </c>
      <c r="E149" s="6">
        <v>144.6199951171875</v>
      </c>
      <c r="G149">
        <v>0</v>
      </c>
      <c r="H149">
        <f t="shared" si="12"/>
        <v>0</v>
      </c>
      <c r="J149">
        <v>5</v>
      </c>
      <c r="K149">
        <f t="shared" si="13"/>
        <v>7.2309997558593752E-3</v>
      </c>
      <c r="M149">
        <v>2</v>
      </c>
      <c r="N149">
        <f t="shared" si="14"/>
        <v>2.89239990234375E-3</v>
      </c>
      <c r="P149">
        <v>0</v>
      </c>
      <c r="Q149">
        <f t="shared" si="15"/>
        <v>0</v>
      </c>
      <c r="S149">
        <v>9</v>
      </c>
      <c r="T149">
        <f t="shared" si="16"/>
        <v>1.3015799560546874E-2</v>
      </c>
      <c r="V149">
        <f>_xlfn.XLOOKUP(B149,[1]Sheet1!$B:$B,[1]Sheet1!$C:$C,0,0,1)</f>
        <v>0</v>
      </c>
      <c r="W149">
        <f t="shared" si="17"/>
        <v>0</v>
      </c>
    </row>
    <row r="150" spans="1:23" x14ac:dyDescent="0.2">
      <c r="A150">
        <v>22293</v>
      </c>
      <c r="B150" t="s">
        <v>249</v>
      </c>
      <c r="C150">
        <v>20523</v>
      </c>
      <c r="D150" t="s">
        <v>250</v>
      </c>
      <c r="E150" s="6">
        <v>47.520000457763672</v>
      </c>
      <c r="G150">
        <v>4</v>
      </c>
      <c r="H150">
        <f t="shared" si="12"/>
        <v>1.9008000183105469E-3</v>
      </c>
      <c r="J150">
        <v>16</v>
      </c>
      <c r="K150">
        <f t="shared" si="13"/>
        <v>7.6032000732421876E-3</v>
      </c>
      <c r="M150">
        <v>6</v>
      </c>
      <c r="N150">
        <f t="shared" si="14"/>
        <v>2.8512000274658203E-3</v>
      </c>
      <c r="P150">
        <v>32</v>
      </c>
      <c r="Q150">
        <f t="shared" si="15"/>
        <v>1.5206400146484375E-2</v>
      </c>
      <c r="S150">
        <v>14</v>
      </c>
      <c r="T150">
        <f t="shared" si="16"/>
        <v>6.6528000640869141E-3</v>
      </c>
      <c r="V150">
        <f>_xlfn.XLOOKUP(B150,[1]Sheet1!$B:$B,[1]Sheet1!$C:$C,0,0,1)</f>
        <v>1</v>
      </c>
      <c r="W150">
        <f t="shared" si="17"/>
        <v>4.7520000457763672E-4</v>
      </c>
    </row>
    <row r="151" spans="1:23" x14ac:dyDescent="0.2">
      <c r="A151">
        <v>22509</v>
      </c>
      <c r="B151" t="s">
        <v>251</v>
      </c>
      <c r="C151">
        <v>21351</v>
      </c>
      <c r="D151" t="s">
        <v>252</v>
      </c>
      <c r="E151" s="6">
        <v>119.44999694824219</v>
      </c>
      <c r="G151">
        <v>0</v>
      </c>
      <c r="H151">
        <f t="shared" si="12"/>
        <v>0</v>
      </c>
      <c r="J151">
        <v>0</v>
      </c>
      <c r="K151">
        <f t="shared" si="13"/>
        <v>0</v>
      </c>
      <c r="M151">
        <v>2</v>
      </c>
      <c r="N151">
        <f t="shared" si="14"/>
        <v>2.3889999389648435E-3</v>
      </c>
      <c r="P151">
        <v>0</v>
      </c>
      <c r="Q151">
        <f t="shared" si="15"/>
        <v>0</v>
      </c>
      <c r="S151">
        <v>0</v>
      </c>
      <c r="T151">
        <f t="shared" si="16"/>
        <v>0</v>
      </c>
      <c r="V151">
        <f>_xlfn.XLOOKUP(B151,[1]Sheet1!$B:$B,[1]Sheet1!$C:$C,0,0,1)</f>
        <v>0</v>
      </c>
      <c r="W151">
        <f t="shared" si="17"/>
        <v>0</v>
      </c>
    </row>
    <row r="152" spans="1:23" x14ac:dyDescent="0.2">
      <c r="A152">
        <v>22517</v>
      </c>
      <c r="B152" t="s">
        <v>253</v>
      </c>
      <c r="C152">
        <v>21376</v>
      </c>
      <c r="D152" t="s">
        <v>254</v>
      </c>
      <c r="E152" s="6">
        <v>32.459999084472656</v>
      </c>
      <c r="G152">
        <v>1</v>
      </c>
      <c r="H152">
        <f t="shared" si="12"/>
        <v>3.2459999084472654E-4</v>
      </c>
      <c r="J152">
        <v>0</v>
      </c>
      <c r="K152">
        <f t="shared" si="13"/>
        <v>0</v>
      </c>
      <c r="M152">
        <v>9</v>
      </c>
      <c r="N152">
        <f t="shared" si="14"/>
        <v>2.921399917602539E-3</v>
      </c>
      <c r="P152">
        <v>0</v>
      </c>
      <c r="Q152">
        <f t="shared" si="15"/>
        <v>0</v>
      </c>
      <c r="S152">
        <v>15</v>
      </c>
      <c r="T152">
        <f t="shared" si="16"/>
        <v>4.8689998626708988E-3</v>
      </c>
      <c r="V152">
        <f>_xlfn.XLOOKUP(B152,[1]Sheet1!$B:$B,[1]Sheet1!$C:$C,0,0,1)</f>
        <v>0</v>
      </c>
      <c r="W152">
        <f t="shared" si="17"/>
        <v>0</v>
      </c>
    </row>
    <row r="153" spans="1:23" x14ac:dyDescent="0.2">
      <c r="A153">
        <v>22592</v>
      </c>
      <c r="B153" t="s">
        <v>255</v>
      </c>
      <c r="C153">
        <v>21205</v>
      </c>
      <c r="D153" t="s">
        <v>256</v>
      </c>
      <c r="E153" s="6">
        <v>129.08999633789062</v>
      </c>
      <c r="G153">
        <v>1</v>
      </c>
      <c r="H153">
        <f t="shared" si="12"/>
        <v>1.2908999633789062E-3</v>
      </c>
      <c r="J153">
        <v>1</v>
      </c>
      <c r="K153">
        <f t="shared" si="13"/>
        <v>1.2908999633789062E-3</v>
      </c>
      <c r="M153">
        <v>0</v>
      </c>
      <c r="N153">
        <f t="shared" si="14"/>
        <v>0</v>
      </c>
      <c r="P153">
        <v>0</v>
      </c>
      <c r="Q153">
        <f t="shared" si="15"/>
        <v>0</v>
      </c>
      <c r="S153">
        <v>1</v>
      </c>
      <c r="T153">
        <f t="shared" si="16"/>
        <v>1.2908999633789062E-3</v>
      </c>
      <c r="V153">
        <f>_xlfn.XLOOKUP(B153,[1]Sheet1!$B:$B,[1]Sheet1!$C:$C,0,0,1)</f>
        <v>0</v>
      </c>
      <c r="W153">
        <f t="shared" si="17"/>
        <v>0</v>
      </c>
    </row>
    <row r="154" spans="1:23" x14ac:dyDescent="0.2">
      <c r="A154">
        <v>22623</v>
      </c>
      <c r="B154" t="s">
        <v>257</v>
      </c>
      <c r="C154">
        <v>59113</v>
      </c>
      <c r="D154" t="s">
        <v>258</v>
      </c>
      <c r="E154" s="6">
        <v>223.71000671386719</v>
      </c>
      <c r="G154">
        <v>3</v>
      </c>
      <c r="H154">
        <f t="shared" si="12"/>
        <v>6.7113002014160157E-3</v>
      </c>
      <c r="J154">
        <v>0</v>
      </c>
      <c r="K154">
        <f t="shared" si="13"/>
        <v>0</v>
      </c>
      <c r="M154">
        <v>2</v>
      </c>
      <c r="N154">
        <f t="shared" si="14"/>
        <v>4.4742001342773438E-3</v>
      </c>
      <c r="P154">
        <v>0</v>
      </c>
      <c r="Q154">
        <f t="shared" si="15"/>
        <v>0</v>
      </c>
      <c r="S154">
        <v>0</v>
      </c>
      <c r="T154">
        <f t="shared" si="16"/>
        <v>0</v>
      </c>
      <c r="V154">
        <f>_xlfn.XLOOKUP(B154,[1]Sheet1!$B:$B,[1]Sheet1!$C:$C,0,0,1)</f>
        <v>0</v>
      </c>
      <c r="W154">
        <f t="shared" si="17"/>
        <v>0</v>
      </c>
    </row>
    <row r="155" spans="1:23" x14ac:dyDescent="0.2">
      <c r="A155">
        <v>22752</v>
      </c>
      <c r="B155" t="s">
        <v>259</v>
      </c>
      <c r="C155">
        <v>21188</v>
      </c>
      <c r="D155" t="s">
        <v>260</v>
      </c>
      <c r="E155" s="6">
        <v>99.480003356933594</v>
      </c>
      <c r="G155">
        <v>0</v>
      </c>
      <c r="H155">
        <f t="shared" si="12"/>
        <v>0</v>
      </c>
      <c r="J155">
        <v>0</v>
      </c>
      <c r="K155">
        <f t="shared" si="13"/>
        <v>0</v>
      </c>
      <c r="M155">
        <v>2</v>
      </c>
      <c r="N155">
        <f t="shared" si="14"/>
        <v>1.989600067138672E-3</v>
      </c>
      <c r="P155">
        <v>0</v>
      </c>
      <c r="Q155">
        <f t="shared" si="15"/>
        <v>0</v>
      </c>
      <c r="S155">
        <v>0</v>
      </c>
      <c r="T155">
        <f t="shared" si="16"/>
        <v>0</v>
      </c>
      <c r="V155">
        <f>_xlfn.XLOOKUP(B155,[1]Sheet1!$B:$B,[1]Sheet1!$C:$C,0,0,1)</f>
        <v>0</v>
      </c>
      <c r="W155">
        <f t="shared" si="17"/>
        <v>0</v>
      </c>
    </row>
    <row r="156" spans="1:23" x14ac:dyDescent="0.2">
      <c r="A156">
        <v>22779</v>
      </c>
      <c r="B156" t="s">
        <v>261</v>
      </c>
      <c r="C156">
        <v>21230</v>
      </c>
      <c r="D156" t="s">
        <v>262</v>
      </c>
      <c r="E156" s="6">
        <v>462.23001098632812</v>
      </c>
      <c r="G156">
        <v>1</v>
      </c>
      <c r="H156">
        <f t="shared" si="12"/>
        <v>4.622300109863281E-3</v>
      </c>
      <c r="J156">
        <v>0</v>
      </c>
      <c r="K156">
        <f t="shared" si="13"/>
        <v>0</v>
      </c>
      <c r="M156">
        <v>0</v>
      </c>
      <c r="N156">
        <f t="shared" si="14"/>
        <v>0</v>
      </c>
      <c r="P156">
        <v>2</v>
      </c>
      <c r="Q156">
        <f t="shared" si="15"/>
        <v>9.244600219726562E-3</v>
      </c>
      <c r="S156">
        <v>0</v>
      </c>
      <c r="T156">
        <f t="shared" si="16"/>
        <v>0</v>
      </c>
      <c r="V156">
        <f>_xlfn.XLOOKUP(B156,[1]Sheet1!$B:$B,[1]Sheet1!$C:$C,0,0,1)</f>
        <v>0</v>
      </c>
      <c r="W156">
        <f t="shared" si="17"/>
        <v>0</v>
      </c>
    </row>
    <row r="157" spans="1:23" x14ac:dyDescent="0.2">
      <c r="A157">
        <v>22976</v>
      </c>
      <c r="B157" t="s">
        <v>263</v>
      </c>
      <c r="C157">
        <v>59247</v>
      </c>
      <c r="D157" t="s">
        <v>264</v>
      </c>
      <c r="E157" s="6">
        <v>10.569999694824219</v>
      </c>
      <c r="G157">
        <v>4</v>
      </c>
      <c r="H157">
        <f t="shared" si="12"/>
        <v>4.2279998779296875E-4</v>
      </c>
      <c r="J157">
        <v>0</v>
      </c>
      <c r="K157">
        <f t="shared" si="13"/>
        <v>0</v>
      </c>
      <c r="M157">
        <v>5</v>
      </c>
      <c r="N157">
        <f t="shared" si="14"/>
        <v>5.2849998474121097E-4</v>
      </c>
      <c r="P157">
        <v>0</v>
      </c>
      <c r="Q157">
        <f t="shared" si="15"/>
        <v>0</v>
      </c>
      <c r="S157">
        <v>0</v>
      </c>
      <c r="T157">
        <f t="shared" si="16"/>
        <v>0</v>
      </c>
      <c r="V157">
        <f>_xlfn.XLOOKUP(B157,[1]Sheet1!$B:$B,[1]Sheet1!$C:$C,0,0,1)</f>
        <v>0</v>
      </c>
      <c r="W157">
        <f t="shared" si="17"/>
        <v>0</v>
      </c>
    </row>
    <row r="158" spans="1:23" x14ac:dyDescent="0.2">
      <c r="A158">
        <v>23026</v>
      </c>
      <c r="B158" t="s">
        <v>265</v>
      </c>
      <c r="C158">
        <v>21326</v>
      </c>
      <c r="D158" t="s">
        <v>266</v>
      </c>
      <c r="E158" s="6">
        <v>39.779998779296875</v>
      </c>
      <c r="G158">
        <v>0</v>
      </c>
      <c r="H158">
        <f t="shared" si="12"/>
        <v>0</v>
      </c>
      <c r="J158">
        <v>0</v>
      </c>
      <c r="K158">
        <f t="shared" si="13"/>
        <v>0</v>
      </c>
      <c r="M158">
        <v>6</v>
      </c>
      <c r="N158">
        <f t="shared" si="14"/>
        <v>2.3867999267578126E-3</v>
      </c>
      <c r="P158">
        <v>0</v>
      </c>
      <c r="Q158">
        <f t="shared" si="15"/>
        <v>0</v>
      </c>
      <c r="S158">
        <v>19</v>
      </c>
      <c r="T158">
        <f t="shared" si="16"/>
        <v>7.5581997680664063E-3</v>
      </c>
      <c r="V158">
        <f>_xlfn.XLOOKUP(B158,[1]Sheet1!$B:$B,[1]Sheet1!$C:$C,0,0,1)</f>
        <v>0</v>
      </c>
      <c r="W158">
        <f t="shared" si="17"/>
        <v>0</v>
      </c>
    </row>
    <row r="159" spans="1:23" x14ac:dyDescent="0.2">
      <c r="A159">
        <v>23229</v>
      </c>
      <c r="B159" t="s">
        <v>267</v>
      </c>
      <c r="C159">
        <v>20361</v>
      </c>
      <c r="D159" t="s">
        <v>268</v>
      </c>
      <c r="E159" s="6">
        <v>66.650001525878906</v>
      </c>
      <c r="G159">
        <v>0</v>
      </c>
      <c r="H159">
        <f t="shared" si="12"/>
        <v>0</v>
      </c>
      <c r="J159">
        <v>0</v>
      </c>
      <c r="K159">
        <f t="shared" si="13"/>
        <v>0</v>
      </c>
      <c r="M159">
        <v>3</v>
      </c>
      <c r="N159">
        <f t="shared" si="14"/>
        <v>1.999500045776367E-3</v>
      </c>
      <c r="P159">
        <v>0</v>
      </c>
      <c r="Q159">
        <f t="shared" si="15"/>
        <v>0</v>
      </c>
      <c r="S159">
        <v>0</v>
      </c>
      <c r="T159">
        <f t="shared" si="16"/>
        <v>0</v>
      </c>
      <c r="V159">
        <f>_xlfn.XLOOKUP(B159,[1]Sheet1!$B:$B,[1]Sheet1!$C:$C,0,0,1)</f>
        <v>0</v>
      </c>
      <c r="W159">
        <f t="shared" si="17"/>
        <v>0</v>
      </c>
    </row>
    <row r="160" spans="1:23" x14ac:dyDescent="0.2">
      <c r="A160">
        <v>23393</v>
      </c>
      <c r="B160" t="s">
        <v>269</v>
      </c>
      <c r="C160">
        <v>1103</v>
      </c>
      <c r="D160" t="s">
        <v>270</v>
      </c>
      <c r="E160" s="6">
        <v>104.70999908447266</v>
      </c>
      <c r="G160">
        <v>1</v>
      </c>
      <c r="H160">
        <f t="shared" si="12"/>
        <v>1.0470999908447265E-3</v>
      </c>
      <c r="J160">
        <v>0</v>
      </c>
      <c r="K160">
        <f t="shared" si="13"/>
        <v>0</v>
      </c>
      <c r="M160">
        <v>2</v>
      </c>
      <c r="N160">
        <f t="shared" si="14"/>
        <v>2.094199981689453E-3</v>
      </c>
      <c r="P160">
        <v>0</v>
      </c>
      <c r="Q160">
        <f t="shared" si="15"/>
        <v>0</v>
      </c>
      <c r="S160">
        <v>0</v>
      </c>
      <c r="T160">
        <f t="shared" si="16"/>
        <v>0</v>
      </c>
      <c r="V160">
        <f>_xlfn.XLOOKUP(B160,[1]Sheet1!$B:$B,[1]Sheet1!$C:$C,0,0,1)</f>
        <v>0</v>
      </c>
      <c r="W160">
        <f t="shared" si="17"/>
        <v>0</v>
      </c>
    </row>
    <row r="161" spans="1:23" x14ac:dyDescent="0.2">
      <c r="A161">
        <v>23473</v>
      </c>
      <c r="B161" t="s">
        <v>271</v>
      </c>
      <c r="C161">
        <v>912</v>
      </c>
      <c r="D161" t="s">
        <v>272</v>
      </c>
      <c r="E161" s="6">
        <v>143.69999694824219</v>
      </c>
      <c r="G161">
        <v>1</v>
      </c>
      <c r="H161">
        <f t="shared" si="12"/>
        <v>1.4369999694824219E-3</v>
      </c>
      <c r="J161">
        <v>0</v>
      </c>
      <c r="K161">
        <f t="shared" si="13"/>
        <v>0</v>
      </c>
      <c r="M161">
        <v>2</v>
      </c>
      <c r="N161">
        <f t="shared" si="14"/>
        <v>2.8739999389648437E-3</v>
      </c>
      <c r="P161">
        <v>0</v>
      </c>
      <c r="Q161">
        <f t="shared" si="15"/>
        <v>0</v>
      </c>
      <c r="S161">
        <v>0</v>
      </c>
      <c r="T161">
        <f t="shared" si="16"/>
        <v>0</v>
      </c>
      <c r="V161">
        <f>_xlfn.XLOOKUP(B161,[1]Sheet1!$B:$B,[1]Sheet1!$C:$C,0,0,1)</f>
        <v>0</v>
      </c>
      <c r="W161">
        <f t="shared" si="17"/>
        <v>0</v>
      </c>
    </row>
    <row r="162" spans="1:23" x14ac:dyDescent="0.2">
      <c r="A162">
        <v>23536</v>
      </c>
      <c r="B162" t="s">
        <v>273</v>
      </c>
      <c r="C162">
        <v>21931</v>
      </c>
      <c r="D162" t="s">
        <v>274</v>
      </c>
      <c r="E162" s="6">
        <v>94.040000915527344</v>
      </c>
      <c r="G162">
        <v>0</v>
      </c>
      <c r="H162">
        <f t="shared" si="12"/>
        <v>0</v>
      </c>
      <c r="J162">
        <v>0</v>
      </c>
      <c r="K162">
        <f t="shared" si="13"/>
        <v>0</v>
      </c>
      <c r="M162">
        <v>3</v>
      </c>
      <c r="N162">
        <f t="shared" si="14"/>
        <v>2.8212000274658203E-3</v>
      </c>
      <c r="P162">
        <v>0</v>
      </c>
      <c r="Q162">
        <f t="shared" si="15"/>
        <v>0</v>
      </c>
      <c r="S162">
        <v>0</v>
      </c>
      <c r="T162">
        <f t="shared" si="16"/>
        <v>0</v>
      </c>
      <c r="V162">
        <f>_xlfn.XLOOKUP(B162,[1]Sheet1!$B:$B,[1]Sheet1!$C:$C,0,0,1)</f>
        <v>0</v>
      </c>
      <c r="W162">
        <f t="shared" si="17"/>
        <v>0</v>
      </c>
    </row>
    <row r="163" spans="1:23" x14ac:dyDescent="0.2">
      <c r="A163">
        <v>23570</v>
      </c>
      <c r="B163" t="s">
        <v>275</v>
      </c>
      <c r="C163">
        <v>59446</v>
      </c>
      <c r="D163" t="s">
        <v>276</v>
      </c>
      <c r="E163" s="6">
        <v>78.180000305175781</v>
      </c>
      <c r="G163">
        <v>2</v>
      </c>
      <c r="H163">
        <f t="shared" si="12"/>
        <v>1.5636000061035155E-3</v>
      </c>
      <c r="J163">
        <v>0</v>
      </c>
      <c r="K163">
        <f t="shared" si="13"/>
        <v>0</v>
      </c>
      <c r="M163">
        <v>0</v>
      </c>
      <c r="N163">
        <f t="shared" si="14"/>
        <v>0</v>
      </c>
      <c r="P163">
        <v>0</v>
      </c>
      <c r="Q163">
        <f t="shared" si="15"/>
        <v>0</v>
      </c>
      <c r="S163">
        <v>0</v>
      </c>
      <c r="T163">
        <f t="shared" si="16"/>
        <v>0</v>
      </c>
      <c r="V163">
        <f>_xlfn.XLOOKUP(B163,[1]Sheet1!$B:$B,[1]Sheet1!$C:$C,0,0,1)</f>
        <v>0</v>
      </c>
      <c r="W163">
        <f t="shared" si="17"/>
        <v>0</v>
      </c>
    </row>
    <row r="164" spans="1:23" x14ac:dyDescent="0.2">
      <c r="A164">
        <v>23579</v>
      </c>
      <c r="B164" t="s">
        <v>277</v>
      </c>
      <c r="C164">
        <v>21743</v>
      </c>
      <c r="D164" t="s">
        <v>278</v>
      </c>
      <c r="E164" s="6">
        <v>76.489997863769531</v>
      </c>
      <c r="G164">
        <v>0</v>
      </c>
      <c r="H164">
        <f t="shared" si="12"/>
        <v>0</v>
      </c>
      <c r="J164">
        <v>2</v>
      </c>
      <c r="K164">
        <f t="shared" si="13"/>
        <v>1.5297999572753906E-3</v>
      </c>
      <c r="M164">
        <v>2</v>
      </c>
      <c r="N164">
        <f t="shared" si="14"/>
        <v>1.5297999572753906E-3</v>
      </c>
      <c r="P164">
        <v>0</v>
      </c>
      <c r="Q164">
        <f t="shared" si="15"/>
        <v>0</v>
      </c>
      <c r="S164">
        <v>0</v>
      </c>
      <c r="T164">
        <f t="shared" si="16"/>
        <v>0</v>
      </c>
      <c r="V164">
        <f>_xlfn.XLOOKUP(B164,[1]Sheet1!$B:$B,[1]Sheet1!$C:$C,0,0,1)</f>
        <v>0</v>
      </c>
      <c r="W164">
        <f t="shared" si="17"/>
        <v>0</v>
      </c>
    </row>
    <row r="165" spans="1:23" x14ac:dyDescent="0.2">
      <c r="A165">
        <v>23660</v>
      </c>
      <c r="B165" t="s">
        <v>279</v>
      </c>
      <c r="C165">
        <v>6304</v>
      </c>
      <c r="D165" t="s">
        <v>280</v>
      </c>
      <c r="E165" s="6">
        <v>182.69999694824219</v>
      </c>
      <c r="G165">
        <v>1</v>
      </c>
      <c r="H165">
        <f t="shared" si="12"/>
        <v>1.8269999694824218E-3</v>
      </c>
      <c r="J165">
        <v>1</v>
      </c>
      <c r="K165">
        <f t="shared" si="13"/>
        <v>1.8269999694824218E-3</v>
      </c>
      <c r="M165">
        <v>1</v>
      </c>
      <c r="N165">
        <f t="shared" si="14"/>
        <v>1.8269999694824218E-3</v>
      </c>
      <c r="P165">
        <v>0</v>
      </c>
      <c r="Q165">
        <f t="shared" si="15"/>
        <v>0</v>
      </c>
      <c r="S165">
        <v>1</v>
      </c>
      <c r="T165">
        <f t="shared" si="16"/>
        <v>1.8269999694824218E-3</v>
      </c>
      <c r="V165">
        <f>_xlfn.XLOOKUP(B165,[1]Sheet1!$B:$B,[1]Sheet1!$C:$C,0,0,1)</f>
        <v>0</v>
      </c>
      <c r="W165">
        <f t="shared" si="17"/>
        <v>0</v>
      </c>
    </row>
    <row r="166" spans="1:23" x14ac:dyDescent="0.2">
      <c r="A166">
        <v>23712</v>
      </c>
      <c r="B166" t="s">
        <v>281</v>
      </c>
      <c r="C166">
        <v>21458</v>
      </c>
      <c r="D166" t="s">
        <v>282</v>
      </c>
      <c r="E166" s="6">
        <v>84.489997863769531</v>
      </c>
      <c r="G166">
        <v>2</v>
      </c>
      <c r="H166">
        <f t="shared" si="12"/>
        <v>1.6897999572753905E-3</v>
      </c>
      <c r="J166">
        <v>3</v>
      </c>
      <c r="K166">
        <f t="shared" si="13"/>
        <v>2.5346999359130858E-3</v>
      </c>
      <c r="M166">
        <v>3</v>
      </c>
      <c r="N166">
        <f t="shared" si="14"/>
        <v>2.5346999359130858E-3</v>
      </c>
      <c r="P166">
        <v>0</v>
      </c>
      <c r="Q166">
        <f t="shared" si="15"/>
        <v>0</v>
      </c>
      <c r="S166">
        <v>5</v>
      </c>
      <c r="T166">
        <f t="shared" si="16"/>
        <v>4.2244998931884768E-3</v>
      </c>
      <c r="V166">
        <f>_xlfn.XLOOKUP(B166,[1]Sheet1!$B:$B,[1]Sheet1!$C:$C,0,0,1)</f>
        <v>0</v>
      </c>
      <c r="W166">
        <f t="shared" si="17"/>
        <v>0</v>
      </c>
    </row>
    <row r="167" spans="1:23" x14ac:dyDescent="0.2">
      <c r="A167">
        <v>23819</v>
      </c>
      <c r="B167" t="s">
        <v>283</v>
      </c>
      <c r="C167">
        <v>20868</v>
      </c>
      <c r="D167" t="s">
        <v>284</v>
      </c>
      <c r="E167" s="6">
        <v>27.190000534057617</v>
      </c>
      <c r="G167">
        <v>0</v>
      </c>
      <c r="H167">
        <f t="shared" si="12"/>
        <v>0</v>
      </c>
      <c r="J167">
        <v>0</v>
      </c>
      <c r="K167">
        <f t="shared" si="13"/>
        <v>0</v>
      </c>
      <c r="M167">
        <v>11</v>
      </c>
      <c r="N167">
        <f t="shared" si="14"/>
        <v>2.990900058746338E-3</v>
      </c>
      <c r="P167">
        <v>0</v>
      </c>
      <c r="Q167">
        <f t="shared" si="15"/>
        <v>0</v>
      </c>
      <c r="S167">
        <v>0</v>
      </c>
      <c r="T167">
        <f t="shared" si="16"/>
        <v>0</v>
      </c>
      <c r="V167">
        <f>_xlfn.XLOOKUP(B167,[1]Sheet1!$B:$B,[1]Sheet1!$C:$C,0,0,1)</f>
        <v>0</v>
      </c>
      <c r="W167">
        <f t="shared" si="17"/>
        <v>0</v>
      </c>
    </row>
    <row r="168" spans="1:23" x14ac:dyDescent="0.2">
      <c r="A168">
        <v>23876</v>
      </c>
      <c r="B168" t="s">
        <v>285</v>
      </c>
      <c r="C168">
        <v>59559</v>
      </c>
      <c r="D168" t="s">
        <v>286</v>
      </c>
      <c r="E168" s="6">
        <v>21.350000381469727</v>
      </c>
      <c r="G168">
        <v>0</v>
      </c>
      <c r="H168">
        <f t="shared" si="12"/>
        <v>0</v>
      </c>
      <c r="J168">
        <v>0</v>
      </c>
      <c r="K168">
        <f t="shared" si="13"/>
        <v>0</v>
      </c>
      <c r="M168">
        <v>0</v>
      </c>
      <c r="N168">
        <f t="shared" si="14"/>
        <v>0</v>
      </c>
      <c r="P168">
        <v>0</v>
      </c>
      <c r="Q168">
        <f t="shared" si="15"/>
        <v>0</v>
      </c>
      <c r="S168">
        <v>0</v>
      </c>
      <c r="T168">
        <f t="shared" si="16"/>
        <v>0</v>
      </c>
      <c r="V168">
        <f>_xlfn.XLOOKUP(B168,[1]Sheet1!$B:$B,[1]Sheet1!$C:$C,0,0,1)</f>
        <v>0</v>
      </c>
      <c r="W168">
        <f t="shared" si="17"/>
        <v>0</v>
      </c>
    </row>
    <row r="169" spans="1:23" x14ac:dyDescent="0.2">
      <c r="A169">
        <v>23931</v>
      </c>
      <c r="B169" t="s">
        <v>287</v>
      </c>
      <c r="C169">
        <v>21300</v>
      </c>
      <c r="D169" t="s">
        <v>288</v>
      </c>
      <c r="E169" s="6">
        <v>67.519996643066406</v>
      </c>
      <c r="G169">
        <v>0</v>
      </c>
      <c r="H169">
        <f t="shared" si="12"/>
        <v>0</v>
      </c>
      <c r="J169">
        <v>6</v>
      </c>
      <c r="K169">
        <f t="shared" si="13"/>
        <v>4.0511997985839847E-3</v>
      </c>
      <c r="M169">
        <v>3</v>
      </c>
      <c r="N169">
        <f t="shared" si="14"/>
        <v>2.0255998992919923E-3</v>
      </c>
      <c r="P169">
        <v>13</v>
      </c>
      <c r="Q169">
        <f t="shared" si="15"/>
        <v>8.7775995635986336E-3</v>
      </c>
      <c r="S169">
        <v>0</v>
      </c>
      <c r="T169">
        <f t="shared" si="16"/>
        <v>0</v>
      </c>
      <c r="V169">
        <f>_xlfn.XLOOKUP(B169,[1]Sheet1!$B:$B,[1]Sheet1!$C:$C,0,0,1)</f>
        <v>0</v>
      </c>
      <c r="W169">
        <f t="shared" si="17"/>
        <v>0</v>
      </c>
    </row>
    <row r="170" spans="1:23" x14ac:dyDescent="0.2">
      <c r="A170">
        <v>24010</v>
      </c>
      <c r="B170" t="s">
        <v>289</v>
      </c>
      <c r="C170">
        <v>21201</v>
      </c>
      <c r="D170" t="s">
        <v>290</v>
      </c>
      <c r="E170" s="6">
        <v>75.819999694824219</v>
      </c>
      <c r="G170">
        <v>2</v>
      </c>
      <c r="H170">
        <f t="shared" si="12"/>
        <v>1.5163999938964843E-3</v>
      </c>
      <c r="J170">
        <v>1</v>
      </c>
      <c r="K170">
        <f t="shared" si="13"/>
        <v>7.5819999694824215E-4</v>
      </c>
      <c r="M170">
        <v>4</v>
      </c>
      <c r="N170">
        <f t="shared" si="14"/>
        <v>3.0327999877929686E-3</v>
      </c>
      <c r="P170">
        <v>0</v>
      </c>
      <c r="Q170">
        <f t="shared" si="15"/>
        <v>0</v>
      </c>
      <c r="S170">
        <v>1</v>
      </c>
      <c r="T170">
        <f t="shared" si="16"/>
        <v>7.5819999694824215E-4</v>
      </c>
      <c r="V170">
        <f>_xlfn.XLOOKUP(B170,[1]Sheet1!$B:$B,[1]Sheet1!$C:$C,0,0,1)</f>
        <v>0</v>
      </c>
      <c r="W170">
        <f t="shared" si="17"/>
        <v>0</v>
      </c>
    </row>
    <row r="171" spans="1:23" x14ac:dyDescent="0.2">
      <c r="A171">
        <v>24053</v>
      </c>
      <c r="B171" t="s">
        <v>291</v>
      </c>
      <c r="C171">
        <v>21035</v>
      </c>
      <c r="D171" t="s">
        <v>292</v>
      </c>
      <c r="E171" s="6">
        <v>61.549999237060547</v>
      </c>
      <c r="G171">
        <v>0</v>
      </c>
      <c r="H171">
        <f t="shared" si="12"/>
        <v>0</v>
      </c>
      <c r="J171">
        <v>0</v>
      </c>
      <c r="K171">
        <f t="shared" si="13"/>
        <v>0</v>
      </c>
      <c r="M171">
        <v>4</v>
      </c>
      <c r="N171">
        <f t="shared" si="14"/>
        <v>2.4619999694824217E-3</v>
      </c>
      <c r="P171">
        <v>0</v>
      </c>
      <c r="Q171">
        <f t="shared" si="15"/>
        <v>0</v>
      </c>
      <c r="S171">
        <v>0</v>
      </c>
      <c r="T171">
        <f t="shared" si="16"/>
        <v>0</v>
      </c>
      <c r="V171">
        <f>_xlfn.XLOOKUP(B171,[1]Sheet1!$B:$B,[1]Sheet1!$C:$C,0,0,1)</f>
        <v>0</v>
      </c>
      <c r="W171">
        <f t="shared" si="17"/>
        <v>0</v>
      </c>
    </row>
    <row r="172" spans="1:23" x14ac:dyDescent="0.2">
      <c r="A172">
        <v>24109</v>
      </c>
      <c r="B172" t="s">
        <v>293</v>
      </c>
      <c r="C172">
        <v>20077</v>
      </c>
      <c r="D172" t="s">
        <v>294</v>
      </c>
      <c r="E172" s="6">
        <v>92.230003356933594</v>
      </c>
      <c r="G172">
        <v>0</v>
      </c>
      <c r="H172">
        <f t="shared" si="12"/>
        <v>0</v>
      </c>
      <c r="J172">
        <v>22</v>
      </c>
      <c r="K172">
        <f t="shared" si="13"/>
        <v>2.0290600738525389E-2</v>
      </c>
      <c r="M172">
        <v>3</v>
      </c>
      <c r="N172">
        <f t="shared" si="14"/>
        <v>2.766900100708008E-3</v>
      </c>
      <c r="P172">
        <v>0</v>
      </c>
      <c r="Q172">
        <f t="shared" si="15"/>
        <v>0</v>
      </c>
      <c r="S172">
        <v>22</v>
      </c>
      <c r="T172">
        <f t="shared" si="16"/>
        <v>2.0290600738525389E-2</v>
      </c>
      <c r="V172">
        <f>_xlfn.XLOOKUP(B172,[1]Sheet1!$B:$B,[1]Sheet1!$C:$C,0,0,1)</f>
        <v>1</v>
      </c>
      <c r="W172">
        <f t="shared" si="17"/>
        <v>9.2230003356933593E-4</v>
      </c>
    </row>
    <row r="173" spans="1:23" x14ac:dyDescent="0.2">
      <c r="A173">
        <v>24174</v>
      </c>
      <c r="B173" t="s">
        <v>295</v>
      </c>
      <c r="C173">
        <v>59644</v>
      </c>
      <c r="D173" t="s">
        <v>296</v>
      </c>
      <c r="E173" s="6">
        <v>101.84999847412109</v>
      </c>
      <c r="G173">
        <v>0</v>
      </c>
      <c r="H173">
        <f t="shared" si="12"/>
        <v>0</v>
      </c>
      <c r="J173">
        <v>0</v>
      </c>
      <c r="K173">
        <f t="shared" si="13"/>
        <v>0</v>
      </c>
      <c r="M173">
        <v>0</v>
      </c>
      <c r="N173">
        <f t="shared" si="14"/>
        <v>0</v>
      </c>
      <c r="P173">
        <v>0</v>
      </c>
      <c r="Q173">
        <f t="shared" si="15"/>
        <v>0</v>
      </c>
      <c r="S173">
        <v>0</v>
      </c>
      <c r="T173">
        <f t="shared" si="16"/>
        <v>0</v>
      </c>
      <c r="V173">
        <f>_xlfn.XLOOKUP(B173,[1]Sheet1!$B:$B,[1]Sheet1!$C:$C,0,0,1)</f>
        <v>0</v>
      </c>
      <c r="W173">
        <f t="shared" si="17"/>
        <v>0</v>
      </c>
    </row>
    <row r="174" spans="1:23" x14ac:dyDescent="0.2">
      <c r="A174">
        <v>24205</v>
      </c>
      <c r="B174" t="s">
        <v>297</v>
      </c>
      <c r="C174">
        <v>20684</v>
      </c>
      <c r="D174" t="s">
        <v>298</v>
      </c>
      <c r="E174" s="6">
        <v>71.69000244140625</v>
      </c>
      <c r="G174">
        <v>0</v>
      </c>
      <c r="H174">
        <f t="shared" si="12"/>
        <v>0</v>
      </c>
      <c r="J174">
        <v>0</v>
      </c>
      <c r="K174">
        <f t="shared" si="13"/>
        <v>0</v>
      </c>
      <c r="M174">
        <v>3</v>
      </c>
      <c r="N174">
        <f t="shared" si="14"/>
        <v>2.1507000732421877E-3</v>
      </c>
      <c r="P174">
        <v>0</v>
      </c>
      <c r="Q174">
        <f t="shared" si="15"/>
        <v>0</v>
      </c>
      <c r="S174">
        <v>0</v>
      </c>
      <c r="T174">
        <f t="shared" si="16"/>
        <v>0</v>
      </c>
      <c r="V174">
        <f>_xlfn.XLOOKUP(B174,[1]Sheet1!$B:$B,[1]Sheet1!$C:$C,0,0,1)</f>
        <v>0</v>
      </c>
      <c r="W174">
        <f t="shared" si="17"/>
        <v>0</v>
      </c>
    </row>
    <row r="175" spans="1:23" x14ac:dyDescent="0.2">
      <c r="A175">
        <v>24328</v>
      </c>
      <c r="B175" t="s">
        <v>299</v>
      </c>
      <c r="C175">
        <v>20662</v>
      </c>
      <c r="D175" t="s">
        <v>300</v>
      </c>
      <c r="E175" s="6">
        <v>46.110000610351562</v>
      </c>
      <c r="G175">
        <v>3</v>
      </c>
      <c r="H175">
        <f t="shared" si="12"/>
        <v>1.3833000183105469E-3</v>
      </c>
      <c r="J175">
        <v>0</v>
      </c>
      <c r="K175">
        <f t="shared" si="13"/>
        <v>0</v>
      </c>
      <c r="M175">
        <v>4</v>
      </c>
      <c r="N175">
        <f t="shared" si="14"/>
        <v>1.8444000244140625E-3</v>
      </c>
      <c r="P175">
        <v>13</v>
      </c>
      <c r="Q175">
        <f t="shared" si="15"/>
        <v>5.9943000793457029E-3</v>
      </c>
      <c r="S175">
        <v>0</v>
      </c>
      <c r="T175">
        <f t="shared" si="16"/>
        <v>0</v>
      </c>
      <c r="V175">
        <f>_xlfn.XLOOKUP(B175,[1]Sheet1!$B:$B,[1]Sheet1!$C:$C,0,0,1)</f>
        <v>0</v>
      </c>
      <c r="W175">
        <f t="shared" si="17"/>
        <v>0</v>
      </c>
    </row>
    <row r="176" spans="1:23" x14ac:dyDescent="0.2">
      <c r="A176">
        <v>24643</v>
      </c>
      <c r="B176" t="s">
        <v>301</v>
      </c>
      <c r="C176">
        <v>20060</v>
      </c>
      <c r="D176" t="s">
        <v>302</v>
      </c>
      <c r="E176" s="6">
        <v>109.37000274658203</v>
      </c>
      <c r="G176">
        <v>7</v>
      </c>
      <c r="H176">
        <f t="shared" si="12"/>
        <v>7.6559001922607423E-3</v>
      </c>
      <c r="J176">
        <v>0</v>
      </c>
      <c r="K176">
        <f t="shared" si="13"/>
        <v>0</v>
      </c>
      <c r="M176">
        <v>2</v>
      </c>
      <c r="N176">
        <f t="shared" si="14"/>
        <v>2.1874000549316408E-3</v>
      </c>
      <c r="P176">
        <v>0</v>
      </c>
      <c r="Q176">
        <f t="shared" si="15"/>
        <v>0</v>
      </c>
      <c r="S176">
        <v>0</v>
      </c>
      <c r="T176">
        <f t="shared" si="16"/>
        <v>0</v>
      </c>
      <c r="V176">
        <f>_xlfn.XLOOKUP(B176,[1]Sheet1!$B:$B,[1]Sheet1!$C:$C,0,0,1)</f>
        <v>0</v>
      </c>
      <c r="W176">
        <f t="shared" si="17"/>
        <v>0</v>
      </c>
    </row>
    <row r="177" spans="1:23" x14ac:dyDescent="0.2">
      <c r="A177">
        <v>24766</v>
      </c>
      <c r="B177" t="s">
        <v>303</v>
      </c>
      <c r="C177">
        <v>21303</v>
      </c>
      <c r="D177" t="s">
        <v>304</v>
      </c>
      <c r="E177" s="6">
        <v>469.29000854492188</v>
      </c>
      <c r="G177">
        <v>0</v>
      </c>
      <c r="H177">
        <f t="shared" si="12"/>
        <v>0</v>
      </c>
      <c r="J177">
        <v>0</v>
      </c>
      <c r="K177">
        <f t="shared" si="13"/>
        <v>0</v>
      </c>
      <c r="M177">
        <v>1</v>
      </c>
      <c r="N177">
        <f t="shared" si="14"/>
        <v>4.6929000854492187E-3</v>
      </c>
      <c r="P177">
        <v>0</v>
      </c>
      <c r="Q177">
        <f t="shared" si="15"/>
        <v>0</v>
      </c>
      <c r="S177">
        <v>0</v>
      </c>
      <c r="T177">
        <f t="shared" si="16"/>
        <v>0</v>
      </c>
      <c r="V177">
        <f>_xlfn.XLOOKUP(B177,[1]Sheet1!$B:$B,[1]Sheet1!$C:$C,0,0,1)</f>
        <v>0</v>
      </c>
      <c r="W177">
        <f t="shared" si="17"/>
        <v>0</v>
      </c>
    </row>
    <row r="178" spans="1:23" x14ac:dyDescent="0.2">
      <c r="A178">
        <v>24877</v>
      </c>
      <c r="B178" t="s">
        <v>1030</v>
      </c>
      <c r="C178">
        <v>59814</v>
      </c>
      <c r="D178" t="s">
        <v>1031</v>
      </c>
      <c r="E178" s="6">
        <v>66.05999755859375</v>
      </c>
      <c r="G178">
        <v>0</v>
      </c>
      <c r="H178">
        <f t="shared" si="12"/>
        <v>0</v>
      </c>
      <c r="J178">
        <v>0</v>
      </c>
      <c r="K178">
        <f t="shared" si="13"/>
        <v>0</v>
      </c>
      <c r="M178">
        <v>0</v>
      </c>
      <c r="N178">
        <f t="shared" si="14"/>
        <v>0</v>
      </c>
      <c r="P178">
        <v>0</v>
      </c>
      <c r="Q178">
        <f t="shared" si="15"/>
        <v>0</v>
      </c>
      <c r="S178">
        <v>0</v>
      </c>
      <c r="T178">
        <f t="shared" si="16"/>
        <v>0</v>
      </c>
      <c r="V178">
        <f>_xlfn.XLOOKUP(B178,[1]Sheet1!$B:$B,[1]Sheet1!$C:$C,0,0,1)</f>
        <v>0</v>
      </c>
      <c r="W178">
        <f t="shared" si="17"/>
        <v>0</v>
      </c>
    </row>
    <row r="179" spans="1:23" x14ac:dyDescent="0.2">
      <c r="A179">
        <v>24878</v>
      </c>
      <c r="B179" t="s">
        <v>1032</v>
      </c>
      <c r="C179">
        <v>59815</v>
      </c>
      <c r="D179" t="s">
        <v>1033</v>
      </c>
      <c r="E179" s="6">
        <v>328.92999267578125</v>
      </c>
      <c r="G179">
        <v>0</v>
      </c>
      <c r="H179">
        <f t="shared" si="12"/>
        <v>0</v>
      </c>
      <c r="J179">
        <v>0</v>
      </c>
      <c r="K179">
        <f t="shared" si="13"/>
        <v>0</v>
      </c>
      <c r="M179">
        <v>0</v>
      </c>
      <c r="N179">
        <f t="shared" si="14"/>
        <v>0</v>
      </c>
      <c r="P179">
        <v>0</v>
      </c>
      <c r="Q179">
        <f t="shared" si="15"/>
        <v>0</v>
      </c>
      <c r="S179">
        <v>0</v>
      </c>
      <c r="T179">
        <f t="shared" si="16"/>
        <v>0</v>
      </c>
      <c r="V179">
        <f>_xlfn.XLOOKUP(B179,[1]Sheet1!$B:$B,[1]Sheet1!$C:$C,0,0,1)</f>
        <v>0</v>
      </c>
      <c r="W179">
        <f t="shared" si="17"/>
        <v>0</v>
      </c>
    </row>
    <row r="180" spans="1:23" x14ac:dyDescent="0.2">
      <c r="A180">
        <v>24985</v>
      </c>
      <c r="B180" t="s">
        <v>305</v>
      </c>
      <c r="C180">
        <v>21808</v>
      </c>
      <c r="D180" t="s">
        <v>306</v>
      </c>
      <c r="E180" s="6">
        <v>89.139999389648438</v>
      </c>
      <c r="G180">
        <v>0</v>
      </c>
      <c r="H180">
        <f t="shared" si="12"/>
        <v>0</v>
      </c>
      <c r="J180">
        <v>0</v>
      </c>
      <c r="K180">
        <f t="shared" si="13"/>
        <v>0</v>
      </c>
      <c r="M180">
        <v>3</v>
      </c>
      <c r="N180">
        <f t="shared" si="14"/>
        <v>2.6741999816894532E-3</v>
      </c>
      <c r="P180">
        <v>13</v>
      </c>
      <c r="Q180">
        <f t="shared" si="15"/>
        <v>1.1588199920654296E-2</v>
      </c>
      <c r="S180">
        <v>0</v>
      </c>
      <c r="T180">
        <f t="shared" si="16"/>
        <v>0</v>
      </c>
      <c r="V180">
        <f>_xlfn.XLOOKUP(B180,[1]Sheet1!$B:$B,[1]Sheet1!$C:$C,0,0,1)</f>
        <v>0</v>
      </c>
      <c r="W180">
        <f t="shared" si="17"/>
        <v>0</v>
      </c>
    </row>
    <row r="181" spans="1:23" x14ac:dyDescent="0.2">
      <c r="A181">
        <v>25146</v>
      </c>
      <c r="B181" t="s">
        <v>1034</v>
      </c>
      <c r="C181">
        <v>59891</v>
      </c>
      <c r="D181" t="s">
        <v>1035</v>
      </c>
      <c r="E181" s="6">
        <v>53.860000610351562</v>
      </c>
      <c r="G181">
        <v>0</v>
      </c>
      <c r="H181">
        <f t="shared" si="12"/>
        <v>0</v>
      </c>
      <c r="J181">
        <v>0</v>
      </c>
      <c r="K181">
        <f t="shared" si="13"/>
        <v>0</v>
      </c>
      <c r="M181">
        <v>0</v>
      </c>
      <c r="N181">
        <f t="shared" si="14"/>
        <v>0</v>
      </c>
      <c r="P181">
        <v>0</v>
      </c>
      <c r="Q181">
        <f t="shared" si="15"/>
        <v>0</v>
      </c>
      <c r="S181">
        <v>0</v>
      </c>
      <c r="T181">
        <f t="shared" si="16"/>
        <v>0</v>
      </c>
      <c r="V181">
        <f>_xlfn.XLOOKUP(B181,[1]Sheet1!$B:$B,[1]Sheet1!$C:$C,0,0,1)</f>
        <v>0</v>
      </c>
      <c r="W181">
        <f t="shared" si="17"/>
        <v>0</v>
      </c>
    </row>
    <row r="182" spans="1:23" x14ac:dyDescent="0.2">
      <c r="A182">
        <v>25232</v>
      </c>
      <c r="B182" t="s">
        <v>307</v>
      </c>
      <c r="C182">
        <v>21332</v>
      </c>
      <c r="D182" t="s">
        <v>308</v>
      </c>
      <c r="E182" s="6">
        <v>100.40000152587891</v>
      </c>
      <c r="G182">
        <v>2</v>
      </c>
      <c r="H182">
        <f t="shared" si="12"/>
        <v>2.0080000305175783E-3</v>
      </c>
      <c r="J182">
        <v>1</v>
      </c>
      <c r="K182">
        <f t="shared" si="13"/>
        <v>1.0040000152587891E-3</v>
      </c>
      <c r="M182">
        <v>3</v>
      </c>
      <c r="N182">
        <f t="shared" si="14"/>
        <v>3.012000045776367E-3</v>
      </c>
      <c r="P182">
        <v>8</v>
      </c>
      <c r="Q182">
        <f t="shared" si="15"/>
        <v>8.0320001220703131E-3</v>
      </c>
      <c r="S182">
        <v>0</v>
      </c>
      <c r="T182">
        <f t="shared" si="16"/>
        <v>0</v>
      </c>
      <c r="V182">
        <f>_xlfn.XLOOKUP(B182,[1]Sheet1!$B:$B,[1]Sheet1!$C:$C,0,0,1)</f>
        <v>0</v>
      </c>
      <c r="W182">
        <f t="shared" si="17"/>
        <v>0</v>
      </c>
    </row>
    <row r="183" spans="1:23" x14ac:dyDescent="0.2">
      <c r="A183">
        <v>25320</v>
      </c>
      <c r="B183" t="s">
        <v>309</v>
      </c>
      <c r="C183">
        <v>20384</v>
      </c>
      <c r="D183" t="s">
        <v>1036</v>
      </c>
      <c r="E183" s="6">
        <v>41.880001068115234</v>
      </c>
      <c r="G183">
        <v>0</v>
      </c>
      <c r="H183">
        <f t="shared" si="12"/>
        <v>0</v>
      </c>
      <c r="J183">
        <v>2</v>
      </c>
      <c r="K183">
        <f t="shared" si="13"/>
        <v>8.376000213623047E-4</v>
      </c>
      <c r="M183">
        <v>6</v>
      </c>
      <c r="N183">
        <f t="shared" si="14"/>
        <v>2.5128000640869141E-3</v>
      </c>
      <c r="P183">
        <v>0</v>
      </c>
      <c r="Q183">
        <f t="shared" si="15"/>
        <v>0</v>
      </c>
      <c r="S183">
        <v>21</v>
      </c>
      <c r="T183">
        <f t="shared" si="16"/>
        <v>8.7948002243041987E-3</v>
      </c>
      <c r="V183">
        <f>_xlfn.XLOOKUP(B183,[1]Sheet1!$B:$B,[1]Sheet1!$C:$C,0,0,1)</f>
        <v>0</v>
      </c>
      <c r="W183">
        <f t="shared" si="17"/>
        <v>0</v>
      </c>
    </row>
    <row r="184" spans="1:23" x14ac:dyDescent="0.2">
      <c r="A184">
        <v>25582</v>
      </c>
      <c r="B184" t="s">
        <v>310</v>
      </c>
      <c r="C184">
        <v>20883</v>
      </c>
      <c r="D184" t="s">
        <v>311</v>
      </c>
      <c r="E184" s="6">
        <v>210.27999877929688</v>
      </c>
      <c r="G184">
        <v>0</v>
      </c>
      <c r="H184">
        <f t="shared" si="12"/>
        <v>0</v>
      </c>
      <c r="J184">
        <v>0</v>
      </c>
      <c r="K184">
        <f t="shared" si="13"/>
        <v>0</v>
      </c>
      <c r="M184">
        <v>1</v>
      </c>
      <c r="N184">
        <f t="shared" si="14"/>
        <v>2.1027999877929688E-3</v>
      </c>
      <c r="P184">
        <v>0</v>
      </c>
      <c r="Q184">
        <f t="shared" si="15"/>
        <v>0</v>
      </c>
      <c r="S184">
        <v>0</v>
      </c>
      <c r="T184">
        <f t="shared" si="16"/>
        <v>0</v>
      </c>
      <c r="V184">
        <f>_xlfn.XLOOKUP(B184,[1]Sheet1!$B:$B,[1]Sheet1!$C:$C,0,0,1)</f>
        <v>0</v>
      </c>
      <c r="W184">
        <f t="shared" si="17"/>
        <v>0</v>
      </c>
    </row>
    <row r="185" spans="1:23" x14ac:dyDescent="0.2">
      <c r="A185">
        <v>25785</v>
      </c>
      <c r="B185" t="s">
        <v>312</v>
      </c>
      <c r="C185">
        <v>20750</v>
      </c>
      <c r="D185" t="s">
        <v>313</v>
      </c>
      <c r="E185" s="6">
        <v>9.8999996185302734</v>
      </c>
      <c r="G185">
        <v>0</v>
      </c>
      <c r="H185">
        <f t="shared" si="12"/>
        <v>0</v>
      </c>
      <c r="J185">
        <v>0</v>
      </c>
      <c r="K185">
        <f t="shared" si="13"/>
        <v>0</v>
      </c>
      <c r="M185">
        <v>21</v>
      </c>
      <c r="N185">
        <f t="shared" si="14"/>
        <v>2.0789999198913573E-3</v>
      </c>
      <c r="P185">
        <v>0</v>
      </c>
      <c r="Q185">
        <f t="shared" si="15"/>
        <v>0</v>
      </c>
      <c r="S185">
        <v>0</v>
      </c>
      <c r="T185">
        <f t="shared" si="16"/>
        <v>0</v>
      </c>
      <c r="V185">
        <f>_xlfn.XLOOKUP(B185,[1]Sheet1!$B:$B,[1]Sheet1!$C:$C,0,0,1)</f>
        <v>0</v>
      </c>
      <c r="W185">
        <f t="shared" si="17"/>
        <v>0</v>
      </c>
    </row>
    <row r="186" spans="1:23" x14ac:dyDescent="0.2">
      <c r="A186">
        <v>25953</v>
      </c>
      <c r="B186" t="s">
        <v>314</v>
      </c>
      <c r="C186">
        <v>20596</v>
      </c>
      <c r="D186" t="s">
        <v>315</v>
      </c>
      <c r="E186" s="6">
        <v>187.60000610351562</v>
      </c>
      <c r="G186">
        <v>1</v>
      </c>
      <c r="H186">
        <f t="shared" si="12"/>
        <v>1.8760000610351562E-3</v>
      </c>
      <c r="J186">
        <v>4</v>
      </c>
      <c r="K186">
        <f t="shared" si="13"/>
        <v>7.5040002441406246E-3</v>
      </c>
      <c r="M186">
        <v>1</v>
      </c>
      <c r="N186">
        <f t="shared" si="14"/>
        <v>1.8760000610351562E-3</v>
      </c>
      <c r="P186">
        <v>0</v>
      </c>
      <c r="Q186">
        <f t="shared" si="15"/>
        <v>0</v>
      </c>
      <c r="S186">
        <v>3</v>
      </c>
      <c r="T186">
        <f t="shared" si="16"/>
        <v>5.6280001831054685E-3</v>
      </c>
      <c r="V186">
        <f>_xlfn.XLOOKUP(B186,[1]Sheet1!$B:$B,[1]Sheet1!$C:$C,0,0,1)</f>
        <v>0</v>
      </c>
      <c r="W186">
        <f t="shared" si="17"/>
        <v>0</v>
      </c>
    </row>
    <row r="187" spans="1:23" x14ac:dyDescent="0.2">
      <c r="A187">
        <v>26403</v>
      </c>
      <c r="B187" t="s">
        <v>316</v>
      </c>
      <c r="C187">
        <v>20587</v>
      </c>
      <c r="D187" t="s">
        <v>317</v>
      </c>
      <c r="E187" s="6">
        <v>111.34999847412109</v>
      </c>
      <c r="G187">
        <v>1</v>
      </c>
      <c r="H187">
        <f t="shared" si="12"/>
        <v>1.1134999847412109E-3</v>
      </c>
      <c r="J187">
        <v>4</v>
      </c>
      <c r="K187">
        <f t="shared" si="13"/>
        <v>4.4539999389648435E-3</v>
      </c>
      <c r="M187">
        <v>2</v>
      </c>
      <c r="N187">
        <f t="shared" si="14"/>
        <v>2.2269999694824218E-3</v>
      </c>
      <c r="P187">
        <v>0</v>
      </c>
      <c r="Q187">
        <f t="shared" si="15"/>
        <v>0</v>
      </c>
      <c r="S187">
        <v>2</v>
      </c>
      <c r="T187">
        <f t="shared" si="16"/>
        <v>2.2269999694824218E-3</v>
      </c>
      <c r="V187">
        <f>_xlfn.XLOOKUP(B187,[1]Sheet1!$B:$B,[1]Sheet1!$C:$C,0,0,1)</f>
        <v>0</v>
      </c>
      <c r="W187">
        <f t="shared" si="17"/>
        <v>0</v>
      </c>
    </row>
    <row r="188" spans="1:23" x14ac:dyDescent="0.2">
      <c r="A188">
        <v>26607</v>
      </c>
      <c r="B188" t="s">
        <v>318</v>
      </c>
      <c r="C188">
        <v>4255</v>
      </c>
      <c r="D188" t="s">
        <v>319</v>
      </c>
      <c r="E188" s="6">
        <v>254.28999328613281</v>
      </c>
      <c r="G188">
        <v>1</v>
      </c>
      <c r="H188">
        <f t="shared" si="12"/>
        <v>2.5428999328613281E-3</v>
      </c>
      <c r="J188">
        <v>1</v>
      </c>
      <c r="K188">
        <f t="shared" si="13"/>
        <v>2.5428999328613281E-3</v>
      </c>
      <c r="M188">
        <v>0</v>
      </c>
      <c r="N188">
        <f t="shared" si="14"/>
        <v>0</v>
      </c>
      <c r="P188">
        <v>2</v>
      </c>
      <c r="Q188">
        <f t="shared" si="15"/>
        <v>5.0857998657226561E-3</v>
      </c>
      <c r="S188">
        <v>0</v>
      </c>
      <c r="T188">
        <f t="shared" si="16"/>
        <v>0</v>
      </c>
      <c r="V188">
        <f>_xlfn.XLOOKUP(B188,[1]Sheet1!$B:$B,[1]Sheet1!$C:$C,0,0,1)</f>
        <v>0</v>
      </c>
      <c r="W188">
        <f t="shared" si="17"/>
        <v>0</v>
      </c>
    </row>
    <row r="189" spans="1:23" x14ac:dyDescent="0.2">
      <c r="A189">
        <v>26710</v>
      </c>
      <c r="B189" t="s">
        <v>320</v>
      </c>
      <c r="C189">
        <v>21111</v>
      </c>
      <c r="D189" t="s">
        <v>321</v>
      </c>
      <c r="E189" s="6">
        <v>84.69000244140625</v>
      </c>
      <c r="G189">
        <v>2</v>
      </c>
      <c r="H189">
        <f t="shared" si="12"/>
        <v>1.693800048828125E-3</v>
      </c>
      <c r="J189">
        <v>0</v>
      </c>
      <c r="K189">
        <f t="shared" si="13"/>
        <v>0</v>
      </c>
      <c r="M189">
        <v>3</v>
      </c>
      <c r="N189">
        <f t="shared" si="14"/>
        <v>2.5407000732421874E-3</v>
      </c>
      <c r="P189">
        <v>16</v>
      </c>
      <c r="Q189">
        <f t="shared" si="15"/>
        <v>1.3550400390625E-2</v>
      </c>
      <c r="S189">
        <v>0</v>
      </c>
      <c r="T189">
        <f t="shared" si="16"/>
        <v>0</v>
      </c>
      <c r="V189">
        <f>_xlfn.XLOOKUP(B189,[1]Sheet1!$B:$B,[1]Sheet1!$C:$C,0,0,1)</f>
        <v>0</v>
      </c>
      <c r="W189">
        <f t="shared" si="17"/>
        <v>0</v>
      </c>
    </row>
    <row r="190" spans="1:23" x14ac:dyDescent="0.2">
      <c r="A190">
        <v>26825</v>
      </c>
      <c r="B190" t="s">
        <v>322</v>
      </c>
      <c r="C190">
        <v>21041</v>
      </c>
      <c r="D190" t="s">
        <v>323</v>
      </c>
      <c r="E190" s="6">
        <v>80.970001220703125</v>
      </c>
      <c r="G190">
        <v>1</v>
      </c>
      <c r="H190">
        <f t="shared" si="12"/>
        <v>8.0970001220703129E-4</v>
      </c>
      <c r="J190">
        <v>0</v>
      </c>
      <c r="K190">
        <f t="shared" si="13"/>
        <v>0</v>
      </c>
      <c r="M190">
        <v>3</v>
      </c>
      <c r="N190">
        <f t="shared" si="14"/>
        <v>2.4291000366210938E-3</v>
      </c>
      <c r="P190">
        <v>6</v>
      </c>
      <c r="Q190">
        <f t="shared" si="15"/>
        <v>4.8582000732421875E-3</v>
      </c>
      <c r="S190">
        <v>9</v>
      </c>
      <c r="T190">
        <f t="shared" si="16"/>
        <v>7.2873001098632808E-3</v>
      </c>
      <c r="V190">
        <f>_xlfn.XLOOKUP(B190,[1]Sheet1!$B:$B,[1]Sheet1!$C:$C,0,0,1)</f>
        <v>0</v>
      </c>
      <c r="W190">
        <f t="shared" si="17"/>
        <v>0</v>
      </c>
    </row>
    <row r="191" spans="1:23" x14ac:dyDescent="0.2">
      <c r="A191">
        <v>27828</v>
      </c>
      <c r="B191" t="s">
        <v>324</v>
      </c>
      <c r="C191">
        <v>20908</v>
      </c>
      <c r="D191" t="s">
        <v>325</v>
      </c>
      <c r="E191" s="6">
        <v>32.630001068115234</v>
      </c>
      <c r="G191">
        <v>3</v>
      </c>
      <c r="H191">
        <f t="shared" si="12"/>
        <v>9.7890003204345708E-4</v>
      </c>
      <c r="J191">
        <v>0</v>
      </c>
      <c r="K191">
        <f t="shared" si="13"/>
        <v>0</v>
      </c>
      <c r="M191">
        <v>8</v>
      </c>
      <c r="N191">
        <f t="shared" si="14"/>
        <v>2.6104000854492186E-3</v>
      </c>
      <c r="P191">
        <v>0</v>
      </c>
      <c r="Q191">
        <f t="shared" si="15"/>
        <v>0</v>
      </c>
      <c r="S191">
        <v>0</v>
      </c>
      <c r="T191">
        <f t="shared" si="16"/>
        <v>0</v>
      </c>
      <c r="V191">
        <f>_xlfn.XLOOKUP(B191,[1]Sheet1!$B:$B,[1]Sheet1!$C:$C,0,0,1)</f>
        <v>0</v>
      </c>
      <c r="W191">
        <f t="shared" si="17"/>
        <v>0</v>
      </c>
    </row>
    <row r="192" spans="1:23" x14ac:dyDescent="0.2">
      <c r="A192">
        <v>27887</v>
      </c>
      <c r="B192" t="s">
        <v>326</v>
      </c>
      <c r="C192">
        <v>20277</v>
      </c>
      <c r="D192" t="s">
        <v>327</v>
      </c>
      <c r="E192" s="6">
        <v>29.159999847412109</v>
      </c>
      <c r="G192">
        <v>0</v>
      </c>
      <c r="H192">
        <f t="shared" si="12"/>
        <v>0</v>
      </c>
      <c r="J192">
        <v>19</v>
      </c>
      <c r="K192">
        <f t="shared" si="13"/>
        <v>5.5403999710083012E-3</v>
      </c>
      <c r="M192">
        <v>8</v>
      </c>
      <c r="N192">
        <f t="shared" si="14"/>
        <v>2.3327999877929689E-3</v>
      </c>
      <c r="P192">
        <v>0</v>
      </c>
      <c r="Q192">
        <f t="shared" si="15"/>
        <v>0</v>
      </c>
      <c r="S192">
        <v>32</v>
      </c>
      <c r="T192">
        <f t="shared" si="16"/>
        <v>9.3311999511718757E-3</v>
      </c>
      <c r="V192">
        <f>_xlfn.XLOOKUP(B192,[1]Sheet1!$B:$B,[1]Sheet1!$C:$C,0,0,1)</f>
        <v>1</v>
      </c>
      <c r="W192">
        <f t="shared" si="17"/>
        <v>2.9159999847412112E-4</v>
      </c>
    </row>
    <row r="193" spans="1:23" x14ac:dyDescent="0.2">
      <c r="A193">
        <v>27959</v>
      </c>
      <c r="B193" t="s">
        <v>328</v>
      </c>
      <c r="C193">
        <v>20608</v>
      </c>
      <c r="D193" t="s">
        <v>329</v>
      </c>
      <c r="E193" s="6">
        <v>107.73999786376953</v>
      </c>
      <c r="G193">
        <v>0</v>
      </c>
      <c r="H193">
        <f t="shared" si="12"/>
        <v>0</v>
      </c>
      <c r="J193">
        <v>4</v>
      </c>
      <c r="K193">
        <f t="shared" si="13"/>
        <v>4.3095999145507814E-3</v>
      </c>
      <c r="M193">
        <v>3</v>
      </c>
      <c r="N193">
        <f t="shared" si="14"/>
        <v>3.232199935913086E-3</v>
      </c>
      <c r="P193">
        <v>0</v>
      </c>
      <c r="Q193">
        <f t="shared" si="15"/>
        <v>0</v>
      </c>
      <c r="S193">
        <v>0</v>
      </c>
      <c r="T193">
        <f t="shared" si="16"/>
        <v>0</v>
      </c>
      <c r="V193">
        <f>_xlfn.XLOOKUP(B193,[1]Sheet1!$B:$B,[1]Sheet1!$C:$C,0,0,1)</f>
        <v>0</v>
      </c>
      <c r="W193">
        <f t="shared" si="17"/>
        <v>0</v>
      </c>
    </row>
    <row r="194" spans="1:23" x14ac:dyDescent="0.2">
      <c r="A194">
        <v>27991</v>
      </c>
      <c r="B194" t="s">
        <v>330</v>
      </c>
      <c r="C194">
        <v>21409</v>
      </c>
      <c r="D194" t="s">
        <v>331</v>
      </c>
      <c r="E194" s="6">
        <v>84.769996643066406</v>
      </c>
      <c r="G194">
        <v>1</v>
      </c>
      <c r="H194">
        <f t="shared" si="12"/>
        <v>8.4769996643066405E-4</v>
      </c>
      <c r="J194">
        <v>0</v>
      </c>
      <c r="K194">
        <f t="shared" si="13"/>
        <v>0</v>
      </c>
      <c r="M194">
        <v>3</v>
      </c>
      <c r="N194">
        <f t="shared" si="14"/>
        <v>2.5430998992919921E-3</v>
      </c>
      <c r="P194">
        <v>0</v>
      </c>
      <c r="Q194">
        <f t="shared" si="15"/>
        <v>0</v>
      </c>
      <c r="S194">
        <v>4</v>
      </c>
      <c r="T194">
        <f t="shared" si="16"/>
        <v>3.3907998657226562E-3</v>
      </c>
      <c r="V194">
        <f>_xlfn.XLOOKUP(B194,[1]Sheet1!$B:$B,[1]Sheet1!$C:$C,0,0,1)</f>
        <v>0</v>
      </c>
      <c r="W194">
        <f t="shared" si="17"/>
        <v>0</v>
      </c>
    </row>
    <row r="195" spans="1:23" x14ac:dyDescent="0.2">
      <c r="A195">
        <v>28222</v>
      </c>
      <c r="B195" t="s">
        <v>332</v>
      </c>
      <c r="C195">
        <v>20030</v>
      </c>
      <c r="D195" t="s">
        <v>333</v>
      </c>
      <c r="E195" s="6">
        <v>290.04000854492188</v>
      </c>
      <c r="G195">
        <v>0</v>
      </c>
      <c r="H195">
        <f t="shared" si="12"/>
        <v>0</v>
      </c>
      <c r="J195">
        <v>3</v>
      </c>
      <c r="K195">
        <f t="shared" si="13"/>
        <v>8.7012002563476559E-3</v>
      </c>
      <c r="M195">
        <v>1</v>
      </c>
      <c r="N195">
        <f t="shared" si="14"/>
        <v>2.9004000854492189E-3</v>
      </c>
      <c r="P195">
        <v>0</v>
      </c>
      <c r="Q195">
        <f t="shared" si="15"/>
        <v>0</v>
      </c>
      <c r="S195">
        <v>4</v>
      </c>
      <c r="T195">
        <f t="shared" si="16"/>
        <v>1.1601600341796876E-2</v>
      </c>
      <c r="V195">
        <f>_xlfn.XLOOKUP(B195,[1]Sheet1!$B:$B,[1]Sheet1!$C:$C,0,0,1)</f>
        <v>0</v>
      </c>
      <c r="W195">
        <f t="shared" si="17"/>
        <v>0</v>
      </c>
    </row>
    <row r="196" spans="1:23" x14ac:dyDescent="0.2">
      <c r="A196">
        <v>28484</v>
      </c>
      <c r="B196" t="s">
        <v>334</v>
      </c>
      <c r="C196">
        <v>20064</v>
      </c>
      <c r="D196" t="s">
        <v>335</v>
      </c>
      <c r="E196" s="6">
        <v>133.00999450683594</v>
      </c>
      <c r="G196">
        <v>0</v>
      </c>
      <c r="H196">
        <f t="shared" si="12"/>
        <v>0</v>
      </c>
      <c r="J196">
        <v>0</v>
      </c>
      <c r="K196">
        <f t="shared" si="13"/>
        <v>0</v>
      </c>
      <c r="M196">
        <v>2</v>
      </c>
      <c r="N196">
        <f t="shared" si="14"/>
        <v>2.6601998901367189E-3</v>
      </c>
      <c r="P196">
        <v>0</v>
      </c>
      <c r="Q196">
        <f t="shared" si="15"/>
        <v>0</v>
      </c>
      <c r="S196">
        <v>0</v>
      </c>
      <c r="T196">
        <f t="shared" si="16"/>
        <v>0</v>
      </c>
      <c r="V196">
        <f>_xlfn.XLOOKUP(B196,[1]Sheet1!$B:$B,[1]Sheet1!$C:$C,0,0,1)</f>
        <v>0</v>
      </c>
      <c r="W196">
        <f t="shared" si="17"/>
        <v>0</v>
      </c>
    </row>
    <row r="197" spans="1:23" x14ac:dyDescent="0.2">
      <c r="A197">
        <v>30681</v>
      </c>
      <c r="B197" t="s">
        <v>336</v>
      </c>
      <c r="C197">
        <v>1367</v>
      </c>
      <c r="D197" t="s">
        <v>337</v>
      </c>
      <c r="E197" s="6">
        <v>86.040000915527344</v>
      </c>
      <c r="G197">
        <v>0</v>
      </c>
      <c r="H197">
        <f t="shared" si="12"/>
        <v>0</v>
      </c>
      <c r="J197">
        <v>4</v>
      </c>
      <c r="K197">
        <f t="shared" si="13"/>
        <v>3.4416000366210937E-3</v>
      </c>
      <c r="M197">
        <v>3</v>
      </c>
      <c r="N197">
        <f t="shared" si="14"/>
        <v>2.5812000274658205E-3</v>
      </c>
      <c r="P197">
        <v>0</v>
      </c>
      <c r="Q197">
        <f t="shared" si="15"/>
        <v>0</v>
      </c>
      <c r="S197">
        <v>4</v>
      </c>
      <c r="T197">
        <f t="shared" si="16"/>
        <v>3.4416000366210937E-3</v>
      </c>
      <c r="V197">
        <f>_xlfn.XLOOKUP(B197,[1]Sheet1!$B:$B,[1]Sheet1!$C:$C,0,0,1)</f>
        <v>0</v>
      </c>
      <c r="W197">
        <f t="shared" si="17"/>
        <v>0</v>
      </c>
    </row>
    <row r="198" spans="1:23" x14ac:dyDescent="0.2">
      <c r="A198">
        <v>32870</v>
      </c>
      <c r="B198" t="s">
        <v>338</v>
      </c>
      <c r="C198">
        <v>20932</v>
      </c>
      <c r="D198" t="s">
        <v>339</v>
      </c>
      <c r="E198" s="6">
        <v>31.370000839233398</v>
      </c>
      <c r="G198">
        <v>0</v>
      </c>
      <c r="H198">
        <f t="shared" si="12"/>
        <v>0</v>
      </c>
      <c r="J198">
        <v>2</v>
      </c>
      <c r="K198">
        <f t="shared" si="13"/>
        <v>6.2740001678466802E-4</v>
      </c>
      <c r="M198">
        <v>3</v>
      </c>
      <c r="N198">
        <f t="shared" si="14"/>
        <v>9.4110002517700192E-4</v>
      </c>
      <c r="P198">
        <v>0</v>
      </c>
      <c r="Q198">
        <f t="shared" si="15"/>
        <v>0</v>
      </c>
      <c r="S198">
        <v>0</v>
      </c>
      <c r="T198">
        <f t="shared" si="16"/>
        <v>0</v>
      </c>
      <c r="V198">
        <f>_xlfn.XLOOKUP(B198,[1]Sheet1!$B:$B,[1]Sheet1!$C:$C,0,0,1)</f>
        <v>0</v>
      </c>
      <c r="W198">
        <f t="shared" si="17"/>
        <v>0</v>
      </c>
    </row>
    <row r="199" spans="1:23" x14ac:dyDescent="0.2">
      <c r="A199">
        <v>32942</v>
      </c>
      <c r="B199" t="s">
        <v>340</v>
      </c>
      <c r="C199">
        <v>20945</v>
      </c>
      <c r="D199" t="s">
        <v>341</v>
      </c>
      <c r="E199" s="6">
        <v>418.8900146484375</v>
      </c>
      <c r="G199">
        <v>1</v>
      </c>
      <c r="H199">
        <f t="shared" si="12"/>
        <v>4.1889001464843747E-3</v>
      </c>
      <c r="J199">
        <v>0</v>
      </c>
      <c r="K199">
        <f t="shared" si="13"/>
        <v>0</v>
      </c>
      <c r="M199">
        <v>0</v>
      </c>
      <c r="N199">
        <f t="shared" si="14"/>
        <v>0</v>
      </c>
      <c r="P199">
        <v>0</v>
      </c>
      <c r="Q199">
        <f t="shared" si="15"/>
        <v>0</v>
      </c>
      <c r="S199">
        <v>0</v>
      </c>
      <c r="T199">
        <f t="shared" si="16"/>
        <v>0</v>
      </c>
      <c r="V199">
        <f>_xlfn.XLOOKUP(B199,[1]Sheet1!$B:$B,[1]Sheet1!$C:$C,0,0,1)</f>
        <v>0</v>
      </c>
      <c r="W199">
        <f t="shared" si="17"/>
        <v>0</v>
      </c>
    </row>
    <row r="200" spans="1:23" x14ac:dyDescent="0.2">
      <c r="A200">
        <v>32986</v>
      </c>
      <c r="B200" t="s">
        <v>342</v>
      </c>
      <c r="C200">
        <v>6748</v>
      </c>
      <c r="D200" t="s">
        <v>343</v>
      </c>
      <c r="E200" s="6">
        <v>139.27000427246094</v>
      </c>
      <c r="G200">
        <v>1</v>
      </c>
      <c r="H200">
        <f t="shared" si="12"/>
        <v>1.3927000427246094E-3</v>
      </c>
      <c r="J200">
        <v>0</v>
      </c>
      <c r="K200">
        <f t="shared" si="13"/>
        <v>0</v>
      </c>
      <c r="M200">
        <v>2</v>
      </c>
      <c r="N200">
        <f t="shared" si="14"/>
        <v>2.7854000854492188E-3</v>
      </c>
      <c r="P200">
        <v>0</v>
      </c>
      <c r="Q200">
        <f t="shared" si="15"/>
        <v>0</v>
      </c>
      <c r="S200">
        <v>0</v>
      </c>
      <c r="T200">
        <f t="shared" si="16"/>
        <v>0</v>
      </c>
      <c r="V200">
        <f>_xlfn.XLOOKUP(B200,[1]Sheet1!$B:$B,[1]Sheet1!$C:$C,0,0,1)</f>
        <v>0</v>
      </c>
      <c r="W200">
        <f t="shared" si="17"/>
        <v>0</v>
      </c>
    </row>
    <row r="201" spans="1:23" x14ac:dyDescent="0.2">
      <c r="A201">
        <v>34032</v>
      </c>
      <c r="B201" t="s">
        <v>344</v>
      </c>
      <c r="C201">
        <v>21161</v>
      </c>
      <c r="D201" t="s">
        <v>345</v>
      </c>
      <c r="E201" s="6">
        <v>72.569999694824219</v>
      </c>
      <c r="G201">
        <v>3</v>
      </c>
      <c r="H201">
        <f t="shared" si="12"/>
        <v>2.1770999908447266E-3</v>
      </c>
      <c r="J201">
        <v>0</v>
      </c>
      <c r="K201">
        <f t="shared" si="13"/>
        <v>0</v>
      </c>
      <c r="M201">
        <v>3</v>
      </c>
      <c r="N201">
        <f t="shared" si="14"/>
        <v>2.1770999908447266E-3</v>
      </c>
      <c r="P201">
        <v>0</v>
      </c>
      <c r="Q201">
        <f t="shared" si="15"/>
        <v>0</v>
      </c>
      <c r="S201">
        <v>0</v>
      </c>
      <c r="T201">
        <f t="shared" si="16"/>
        <v>0</v>
      </c>
      <c r="V201">
        <f>_xlfn.XLOOKUP(B201,[1]Sheet1!$B:$B,[1]Sheet1!$C:$C,0,0,1)</f>
        <v>0</v>
      </c>
      <c r="W201">
        <f t="shared" si="17"/>
        <v>0</v>
      </c>
    </row>
    <row r="202" spans="1:23" x14ac:dyDescent="0.2">
      <c r="A202">
        <v>34746</v>
      </c>
      <c r="B202" t="s">
        <v>346</v>
      </c>
      <c r="C202">
        <v>1741</v>
      </c>
      <c r="D202" t="s">
        <v>347</v>
      </c>
      <c r="E202" s="6">
        <v>42.279998779296875</v>
      </c>
      <c r="G202">
        <v>3</v>
      </c>
      <c r="H202">
        <f t="shared" si="12"/>
        <v>1.2683999633789063E-3</v>
      </c>
      <c r="J202">
        <v>4</v>
      </c>
      <c r="K202">
        <f t="shared" si="13"/>
        <v>1.691199951171875E-3</v>
      </c>
      <c r="M202">
        <v>6</v>
      </c>
      <c r="N202">
        <f t="shared" si="14"/>
        <v>2.5367999267578126E-3</v>
      </c>
      <c r="P202">
        <v>0</v>
      </c>
      <c r="Q202">
        <f t="shared" si="15"/>
        <v>0</v>
      </c>
      <c r="S202">
        <v>7</v>
      </c>
      <c r="T202">
        <f t="shared" si="16"/>
        <v>2.9595999145507813E-3</v>
      </c>
      <c r="V202">
        <f>_xlfn.XLOOKUP(B202,[1]Sheet1!$B:$B,[1]Sheet1!$C:$C,0,0,1)</f>
        <v>0</v>
      </c>
      <c r="W202">
        <f t="shared" si="17"/>
        <v>0</v>
      </c>
    </row>
    <row r="203" spans="1:23" x14ac:dyDescent="0.2">
      <c r="A203">
        <v>34817</v>
      </c>
      <c r="B203" t="s">
        <v>348</v>
      </c>
      <c r="C203">
        <v>21308</v>
      </c>
      <c r="D203" t="s">
        <v>349</v>
      </c>
      <c r="E203" s="6">
        <v>116.70999908447266</v>
      </c>
      <c r="G203">
        <v>0</v>
      </c>
      <c r="H203">
        <f t="shared" si="12"/>
        <v>0</v>
      </c>
      <c r="J203">
        <v>1</v>
      </c>
      <c r="K203">
        <f t="shared" si="13"/>
        <v>1.1670999908447266E-3</v>
      </c>
      <c r="M203">
        <v>2</v>
      </c>
      <c r="N203">
        <f t="shared" si="14"/>
        <v>2.3341999816894532E-3</v>
      </c>
      <c r="P203">
        <v>0</v>
      </c>
      <c r="Q203">
        <f t="shared" si="15"/>
        <v>0</v>
      </c>
      <c r="S203">
        <v>2</v>
      </c>
      <c r="T203">
        <f t="shared" si="16"/>
        <v>2.3341999816894532E-3</v>
      </c>
      <c r="V203">
        <f>_xlfn.XLOOKUP(B203,[1]Sheet1!$B:$B,[1]Sheet1!$C:$C,0,0,1)</f>
        <v>0</v>
      </c>
      <c r="W203">
        <f t="shared" si="17"/>
        <v>0</v>
      </c>
    </row>
    <row r="204" spans="1:23" x14ac:dyDescent="0.2">
      <c r="A204">
        <v>34833</v>
      </c>
      <c r="B204" t="s">
        <v>350</v>
      </c>
      <c r="C204">
        <v>21322</v>
      </c>
      <c r="D204" t="s">
        <v>351</v>
      </c>
      <c r="E204" s="6">
        <v>49.409999847412109</v>
      </c>
      <c r="G204">
        <v>0</v>
      </c>
      <c r="H204">
        <f t="shared" si="12"/>
        <v>0</v>
      </c>
      <c r="J204">
        <v>3</v>
      </c>
      <c r="K204">
        <f t="shared" si="13"/>
        <v>1.4822999954223633E-3</v>
      </c>
      <c r="M204">
        <v>6</v>
      </c>
      <c r="N204">
        <f t="shared" si="14"/>
        <v>2.9645999908447266E-3</v>
      </c>
      <c r="P204">
        <v>0</v>
      </c>
      <c r="Q204">
        <f t="shared" si="15"/>
        <v>0</v>
      </c>
      <c r="S204">
        <v>2</v>
      </c>
      <c r="T204">
        <f t="shared" si="16"/>
        <v>9.8819999694824221E-4</v>
      </c>
      <c r="V204">
        <f>_xlfn.XLOOKUP(B204,[1]Sheet1!$B:$B,[1]Sheet1!$C:$C,0,0,1)</f>
        <v>0</v>
      </c>
      <c r="W204">
        <f t="shared" si="17"/>
        <v>0</v>
      </c>
    </row>
    <row r="205" spans="1:23" x14ac:dyDescent="0.2">
      <c r="A205">
        <v>35044</v>
      </c>
      <c r="B205" t="s">
        <v>352</v>
      </c>
      <c r="C205">
        <v>1620</v>
      </c>
      <c r="D205" t="s">
        <v>353</v>
      </c>
      <c r="E205" s="6">
        <v>23.520000457763672</v>
      </c>
      <c r="G205">
        <v>2</v>
      </c>
      <c r="H205">
        <f t="shared" si="12"/>
        <v>4.7040000915527343E-4</v>
      </c>
      <c r="J205">
        <v>3</v>
      </c>
      <c r="K205">
        <f t="shared" si="13"/>
        <v>7.0560001373291012E-4</v>
      </c>
      <c r="M205">
        <v>12</v>
      </c>
      <c r="N205">
        <f t="shared" si="14"/>
        <v>2.8224000549316405E-3</v>
      </c>
      <c r="P205">
        <v>0</v>
      </c>
      <c r="Q205">
        <f t="shared" si="15"/>
        <v>0</v>
      </c>
      <c r="S205">
        <v>6</v>
      </c>
      <c r="T205">
        <f t="shared" si="16"/>
        <v>1.4112000274658202E-3</v>
      </c>
      <c r="V205">
        <f>_xlfn.XLOOKUP(B205,[1]Sheet1!$B:$B,[1]Sheet1!$C:$C,0,0,1)</f>
        <v>0</v>
      </c>
      <c r="W205">
        <f t="shared" si="17"/>
        <v>0</v>
      </c>
    </row>
    <row r="206" spans="1:23" x14ac:dyDescent="0.2">
      <c r="A206">
        <v>35554</v>
      </c>
      <c r="B206" t="s">
        <v>354</v>
      </c>
      <c r="C206">
        <v>1689</v>
      </c>
      <c r="D206" t="s">
        <v>355</v>
      </c>
      <c r="E206" s="6">
        <v>188.00999450683594</v>
      </c>
      <c r="G206">
        <v>1</v>
      </c>
      <c r="H206">
        <f t="shared" si="12"/>
        <v>1.8800999450683594E-3</v>
      </c>
      <c r="J206">
        <v>0</v>
      </c>
      <c r="K206">
        <f t="shared" si="13"/>
        <v>0</v>
      </c>
      <c r="M206">
        <v>1</v>
      </c>
      <c r="N206">
        <f t="shared" si="14"/>
        <v>1.8800999450683594E-3</v>
      </c>
      <c r="P206">
        <v>0</v>
      </c>
      <c r="Q206">
        <f t="shared" si="15"/>
        <v>0</v>
      </c>
      <c r="S206">
        <v>0</v>
      </c>
      <c r="T206">
        <f t="shared" si="16"/>
        <v>0</v>
      </c>
      <c r="V206">
        <f>_xlfn.XLOOKUP(B206,[1]Sheet1!$B:$B,[1]Sheet1!$C:$C,0,0,1)</f>
        <v>0</v>
      </c>
      <c r="W206">
        <f t="shared" si="17"/>
        <v>0</v>
      </c>
    </row>
    <row r="207" spans="1:23" x14ac:dyDescent="0.2">
      <c r="A207">
        <v>36003</v>
      </c>
      <c r="B207" t="s">
        <v>356</v>
      </c>
      <c r="C207">
        <v>21530</v>
      </c>
      <c r="D207" t="s">
        <v>357</v>
      </c>
      <c r="E207" s="6">
        <v>46.349998474121094</v>
      </c>
      <c r="G207">
        <v>2</v>
      </c>
      <c r="H207">
        <f t="shared" si="12"/>
        <v>9.2699996948242182E-4</v>
      </c>
      <c r="J207">
        <v>0</v>
      </c>
      <c r="K207">
        <f t="shared" si="13"/>
        <v>0</v>
      </c>
      <c r="M207">
        <v>4</v>
      </c>
      <c r="N207">
        <f t="shared" si="14"/>
        <v>1.8539999389648436E-3</v>
      </c>
      <c r="P207">
        <v>0</v>
      </c>
      <c r="Q207">
        <f t="shared" si="15"/>
        <v>0</v>
      </c>
      <c r="S207">
        <v>0</v>
      </c>
      <c r="T207">
        <f t="shared" si="16"/>
        <v>0</v>
      </c>
      <c r="V207">
        <f>_xlfn.XLOOKUP(B207,[1]Sheet1!$B:$B,[1]Sheet1!$C:$C,0,0,1)</f>
        <v>0</v>
      </c>
      <c r="W207">
        <f t="shared" si="17"/>
        <v>0</v>
      </c>
    </row>
    <row r="208" spans="1:23" x14ac:dyDescent="0.2">
      <c r="A208">
        <v>36468</v>
      </c>
      <c r="B208" t="s">
        <v>358</v>
      </c>
      <c r="C208">
        <v>21609</v>
      </c>
      <c r="D208" t="s">
        <v>359</v>
      </c>
      <c r="E208" s="6">
        <v>339.92999267578125</v>
      </c>
      <c r="G208">
        <v>1</v>
      </c>
      <c r="H208">
        <f t="shared" ref="H208:H271" si="18">G208*E208/$C$5</f>
        <v>3.3992999267578126E-3</v>
      </c>
      <c r="J208">
        <v>1</v>
      </c>
      <c r="K208">
        <f t="shared" ref="K208:K271" si="19">J208*E208/$C$5</f>
        <v>3.3992999267578126E-3</v>
      </c>
      <c r="M208">
        <v>0</v>
      </c>
      <c r="N208">
        <f t="shared" ref="N208:N271" si="20">M208*E208/$C$5</f>
        <v>0</v>
      </c>
      <c r="P208">
        <v>0</v>
      </c>
      <c r="Q208">
        <f t="shared" ref="Q208:Q271" si="21">P208*E208/$C$5</f>
        <v>0</v>
      </c>
      <c r="S208">
        <v>1</v>
      </c>
      <c r="T208">
        <f t="shared" ref="T208:T271" si="22">S208*E208/$C$5</f>
        <v>3.3992999267578126E-3</v>
      </c>
      <c r="V208">
        <f>_xlfn.XLOOKUP(B208,[1]Sheet1!$B:$B,[1]Sheet1!$C:$C,0,0,1)</f>
        <v>0</v>
      </c>
      <c r="W208">
        <f t="shared" ref="W208:W271" si="23">V208*E208/$C$5</f>
        <v>0</v>
      </c>
    </row>
    <row r="209" spans="1:23" x14ac:dyDescent="0.2">
      <c r="A209">
        <v>37584</v>
      </c>
      <c r="B209" t="s">
        <v>360</v>
      </c>
      <c r="C209">
        <v>6407</v>
      </c>
      <c r="D209" t="s">
        <v>361</v>
      </c>
      <c r="E209" s="6">
        <v>20.290000915527344</v>
      </c>
      <c r="G209">
        <v>0</v>
      </c>
      <c r="H209">
        <f t="shared" si="18"/>
        <v>0</v>
      </c>
      <c r="J209">
        <v>0</v>
      </c>
      <c r="K209">
        <f t="shared" si="19"/>
        <v>0</v>
      </c>
      <c r="M209">
        <v>12</v>
      </c>
      <c r="N209">
        <f t="shared" si="20"/>
        <v>2.4348001098632812E-3</v>
      </c>
      <c r="P209">
        <v>0</v>
      </c>
      <c r="Q209">
        <f t="shared" si="21"/>
        <v>0</v>
      </c>
      <c r="S209">
        <v>0</v>
      </c>
      <c r="T209">
        <f t="shared" si="22"/>
        <v>0</v>
      </c>
      <c r="V209">
        <f>_xlfn.XLOOKUP(B209,[1]Sheet1!$B:$B,[1]Sheet1!$C:$C,0,0,1)</f>
        <v>0</v>
      </c>
      <c r="W209">
        <f t="shared" si="23"/>
        <v>0</v>
      </c>
    </row>
    <row r="210" spans="1:23" x14ac:dyDescent="0.2">
      <c r="A210">
        <v>38093</v>
      </c>
      <c r="B210" t="s">
        <v>362</v>
      </c>
      <c r="C210">
        <v>7094</v>
      </c>
      <c r="D210" t="s">
        <v>363</v>
      </c>
      <c r="E210" s="6">
        <v>283.85000610351562</v>
      </c>
      <c r="G210">
        <v>1</v>
      </c>
      <c r="H210">
        <f t="shared" si="18"/>
        <v>2.8385000610351564E-3</v>
      </c>
      <c r="J210">
        <v>0</v>
      </c>
      <c r="K210">
        <f t="shared" si="19"/>
        <v>0</v>
      </c>
      <c r="M210">
        <v>1</v>
      </c>
      <c r="N210">
        <f t="shared" si="20"/>
        <v>2.8385000610351564E-3</v>
      </c>
      <c r="P210">
        <v>0</v>
      </c>
      <c r="Q210">
        <f t="shared" si="21"/>
        <v>0</v>
      </c>
      <c r="S210">
        <v>0</v>
      </c>
      <c r="T210">
        <f t="shared" si="22"/>
        <v>0</v>
      </c>
      <c r="V210">
        <f>_xlfn.XLOOKUP(B210,[1]Sheet1!$B:$B,[1]Sheet1!$C:$C,0,0,1)</f>
        <v>0</v>
      </c>
      <c r="W210">
        <f t="shared" si="23"/>
        <v>0</v>
      </c>
    </row>
    <row r="211" spans="1:23" x14ac:dyDescent="0.2">
      <c r="A211">
        <v>38156</v>
      </c>
      <c r="B211" t="s">
        <v>364</v>
      </c>
      <c r="C211">
        <v>21923</v>
      </c>
      <c r="D211" t="s">
        <v>365</v>
      </c>
      <c r="E211" s="6">
        <v>54.119998931884766</v>
      </c>
      <c r="G211">
        <v>5</v>
      </c>
      <c r="H211">
        <f t="shared" si="18"/>
        <v>2.7059999465942385E-3</v>
      </c>
      <c r="J211">
        <v>0</v>
      </c>
      <c r="K211">
        <f t="shared" si="19"/>
        <v>0</v>
      </c>
      <c r="M211">
        <v>5</v>
      </c>
      <c r="N211">
        <f t="shared" si="20"/>
        <v>2.7059999465942385E-3</v>
      </c>
      <c r="P211">
        <v>17</v>
      </c>
      <c r="Q211">
        <f t="shared" si="21"/>
        <v>9.2003998184204093E-3</v>
      </c>
      <c r="S211">
        <v>0</v>
      </c>
      <c r="T211">
        <f t="shared" si="22"/>
        <v>0</v>
      </c>
      <c r="V211">
        <f>_xlfn.XLOOKUP(B211,[1]Sheet1!$B:$B,[1]Sheet1!$C:$C,0,0,1)</f>
        <v>0</v>
      </c>
      <c r="W211">
        <f t="shared" si="23"/>
        <v>0</v>
      </c>
    </row>
    <row r="212" spans="1:23" x14ac:dyDescent="0.2">
      <c r="A212">
        <v>38703</v>
      </c>
      <c r="B212" t="s">
        <v>366</v>
      </c>
      <c r="C212">
        <v>21305</v>
      </c>
      <c r="D212" t="s">
        <v>367</v>
      </c>
      <c r="E212" s="6">
        <v>70.239997863769531</v>
      </c>
      <c r="G212">
        <v>4</v>
      </c>
      <c r="H212">
        <f t="shared" si="18"/>
        <v>2.8095999145507813E-3</v>
      </c>
      <c r="J212">
        <v>0</v>
      </c>
      <c r="K212">
        <f t="shared" si="19"/>
        <v>0</v>
      </c>
      <c r="M212">
        <v>5</v>
      </c>
      <c r="N212">
        <f t="shared" si="20"/>
        <v>3.5119998931884768E-3</v>
      </c>
      <c r="P212">
        <v>11</v>
      </c>
      <c r="Q212">
        <f t="shared" si="21"/>
        <v>7.7263997650146481E-3</v>
      </c>
      <c r="S212">
        <v>0</v>
      </c>
      <c r="T212">
        <f t="shared" si="22"/>
        <v>0</v>
      </c>
      <c r="V212">
        <f>_xlfn.XLOOKUP(B212,[1]Sheet1!$B:$B,[1]Sheet1!$C:$C,0,0,1)</f>
        <v>0</v>
      </c>
      <c r="W212">
        <f t="shared" si="23"/>
        <v>0</v>
      </c>
    </row>
    <row r="213" spans="1:23" x14ac:dyDescent="0.2">
      <c r="A213">
        <v>38762</v>
      </c>
      <c r="B213" t="s">
        <v>368</v>
      </c>
      <c r="C213">
        <v>21244</v>
      </c>
      <c r="D213" t="s">
        <v>369</v>
      </c>
      <c r="E213" s="6">
        <v>36.759998321533203</v>
      </c>
      <c r="G213">
        <v>4</v>
      </c>
      <c r="H213">
        <f t="shared" si="18"/>
        <v>1.4703999328613282E-3</v>
      </c>
      <c r="J213">
        <v>0</v>
      </c>
      <c r="K213">
        <f t="shared" si="19"/>
        <v>0</v>
      </c>
      <c r="M213">
        <v>6</v>
      </c>
      <c r="N213">
        <f t="shared" si="20"/>
        <v>2.2055998992919924E-3</v>
      </c>
      <c r="P213">
        <v>39</v>
      </c>
      <c r="Q213">
        <f t="shared" si="21"/>
        <v>1.4336399345397949E-2</v>
      </c>
      <c r="S213">
        <v>0</v>
      </c>
      <c r="T213">
        <f t="shared" si="22"/>
        <v>0</v>
      </c>
      <c r="V213">
        <f>_xlfn.XLOOKUP(B213,[1]Sheet1!$B:$B,[1]Sheet1!$C:$C,0,0,1)</f>
        <v>0</v>
      </c>
      <c r="W213">
        <f t="shared" si="23"/>
        <v>0</v>
      </c>
    </row>
    <row r="214" spans="1:23" x14ac:dyDescent="0.2">
      <c r="A214">
        <v>39490</v>
      </c>
      <c r="B214" t="s">
        <v>370</v>
      </c>
      <c r="C214">
        <v>20204</v>
      </c>
      <c r="D214" t="s">
        <v>371</v>
      </c>
      <c r="E214" s="6">
        <v>23.090000152587891</v>
      </c>
      <c r="G214">
        <v>0</v>
      </c>
      <c r="H214">
        <f t="shared" si="18"/>
        <v>0</v>
      </c>
      <c r="J214">
        <v>1</v>
      </c>
      <c r="K214">
        <f t="shared" si="19"/>
        <v>2.309000015258789E-4</v>
      </c>
      <c r="M214">
        <v>10</v>
      </c>
      <c r="N214">
        <f t="shared" si="20"/>
        <v>2.3090000152587889E-3</v>
      </c>
      <c r="P214">
        <v>0</v>
      </c>
      <c r="Q214">
        <f t="shared" si="21"/>
        <v>0</v>
      </c>
      <c r="S214">
        <v>2</v>
      </c>
      <c r="T214">
        <f t="shared" si="22"/>
        <v>4.618000030517578E-4</v>
      </c>
      <c r="V214">
        <f>_xlfn.XLOOKUP(B214,[1]Sheet1!$B:$B,[1]Sheet1!$C:$C,0,0,1)</f>
        <v>0</v>
      </c>
      <c r="W214">
        <f t="shared" si="23"/>
        <v>0</v>
      </c>
    </row>
    <row r="215" spans="1:23" x14ac:dyDescent="0.2">
      <c r="A215">
        <v>39642</v>
      </c>
      <c r="B215" t="s">
        <v>372</v>
      </c>
      <c r="C215">
        <v>20284</v>
      </c>
      <c r="D215" t="s">
        <v>373</v>
      </c>
      <c r="E215" s="6">
        <v>226.8699951171875</v>
      </c>
      <c r="G215">
        <v>0</v>
      </c>
      <c r="H215">
        <f t="shared" si="18"/>
        <v>0</v>
      </c>
      <c r="J215">
        <v>2</v>
      </c>
      <c r="K215">
        <f t="shared" si="19"/>
        <v>4.5373999023437502E-3</v>
      </c>
      <c r="M215">
        <v>1</v>
      </c>
      <c r="N215">
        <f t="shared" si="20"/>
        <v>2.2686999511718751E-3</v>
      </c>
      <c r="P215">
        <v>0</v>
      </c>
      <c r="Q215">
        <f t="shared" si="21"/>
        <v>0</v>
      </c>
      <c r="S215">
        <v>0</v>
      </c>
      <c r="T215">
        <f t="shared" si="22"/>
        <v>0</v>
      </c>
      <c r="V215">
        <f>_xlfn.XLOOKUP(B215,[1]Sheet1!$B:$B,[1]Sheet1!$C:$C,0,0,1)</f>
        <v>0</v>
      </c>
      <c r="W215">
        <f t="shared" si="23"/>
        <v>0</v>
      </c>
    </row>
    <row r="216" spans="1:23" x14ac:dyDescent="0.2">
      <c r="A216">
        <v>39917</v>
      </c>
      <c r="B216" t="s">
        <v>374</v>
      </c>
      <c r="C216">
        <v>21914</v>
      </c>
      <c r="D216" t="s">
        <v>375</v>
      </c>
      <c r="E216" s="6">
        <v>28.149999618530273</v>
      </c>
      <c r="G216">
        <v>0</v>
      </c>
      <c r="H216">
        <f t="shared" si="18"/>
        <v>0</v>
      </c>
      <c r="J216">
        <v>1</v>
      </c>
      <c r="K216">
        <f t="shared" si="19"/>
        <v>2.8149999618530276E-4</v>
      </c>
      <c r="M216">
        <v>8</v>
      </c>
      <c r="N216">
        <f t="shared" si="20"/>
        <v>2.251999969482422E-3</v>
      </c>
      <c r="P216">
        <v>0</v>
      </c>
      <c r="Q216">
        <f t="shared" si="21"/>
        <v>0</v>
      </c>
      <c r="S216">
        <v>0</v>
      </c>
      <c r="T216">
        <f t="shared" si="22"/>
        <v>0</v>
      </c>
      <c r="V216">
        <f>_xlfn.XLOOKUP(B216,[1]Sheet1!$B:$B,[1]Sheet1!$C:$C,0,0,1)</f>
        <v>0</v>
      </c>
      <c r="W216">
        <f t="shared" si="23"/>
        <v>0</v>
      </c>
    </row>
    <row r="217" spans="1:23" x14ac:dyDescent="0.2">
      <c r="A217">
        <v>40272</v>
      </c>
      <c r="B217" t="s">
        <v>376</v>
      </c>
      <c r="C217">
        <v>20991</v>
      </c>
      <c r="D217" t="s">
        <v>377</v>
      </c>
      <c r="E217" s="6">
        <v>84.550003051757812</v>
      </c>
      <c r="G217">
        <v>0</v>
      </c>
      <c r="H217">
        <f t="shared" si="18"/>
        <v>0</v>
      </c>
      <c r="J217">
        <v>0</v>
      </c>
      <c r="K217">
        <f t="shared" si="19"/>
        <v>0</v>
      </c>
      <c r="M217">
        <v>3</v>
      </c>
      <c r="N217">
        <f t="shared" si="20"/>
        <v>2.5365000915527343E-3</v>
      </c>
      <c r="P217">
        <v>0</v>
      </c>
      <c r="Q217">
        <f t="shared" si="21"/>
        <v>0</v>
      </c>
      <c r="S217">
        <v>3</v>
      </c>
      <c r="T217">
        <f t="shared" si="22"/>
        <v>2.5365000915527343E-3</v>
      </c>
      <c r="V217">
        <f>_xlfn.XLOOKUP(B217,[1]Sheet1!$B:$B,[1]Sheet1!$C:$C,0,0,1)</f>
        <v>0</v>
      </c>
      <c r="W217">
        <f t="shared" si="23"/>
        <v>0</v>
      </c>
    </row>
    <row r="218" spans="1:23" x14ac:dyDescent="0.2">
      <c r="A218">
        <v>40539</v>
      </c>
      <c r="B218" t="s">
        <v>378</v>
      </c>
      <c r="C218">
        <v>21949</v>
      </c>
      <c r="D218" t="s">
        <v>379</v>
      </c>
      <c r="E218" s="6">
        <v>120.80999755859375</v>
      </c>
      <c r="G218">
        <v>2</v>
      </c>
      <c r="H218">
        <f t="shared" si="18"/>
        <v>2.4161999511718752E-3</v>
      </c>
      <c r="J218">
        <v>2</v>
      </c>
      <c r="K218">
        <f t="shared" si="19"/>
        <v>2.4161999511718752E-3</v>
      </c>
      <c r="M218">
        <v>1</v>
      </c>
      <c r="N218">
        <f t="shared" si="20"/>
        <v>1.2080999755859376E-3</v>
      </c>
      <c r="P218">
        <v>9</v>
      </c>
      <c r="Q218">
        <f t="shared" si="21"/>
        <v>1.0872899780273438E-2</v>
      </c>
      <c r="S218">
        <v>0</v>
      </c>
      <c r="T218">
        <f t="shared" si="22"/>
        <v>0</v>
      </c>
      <c r="V218">
        <f>_xlfn.XLOOKUP(B218,[1]Sheet1!$B:$B,[1]Sheet1!$C:$C,0,0,1)</f>
        <v>0</v>
      </c>
      <c r="W218">
        <f t="shared" si="23"/>
        <v>0</v>
      </c>
    </row>
    <row r="219" spans="1:23" x14ac:dyDescent="0.2">
      <c r="A219">
        <v>41080</v>
      </c>
      <c r="B219" t="s">
        <v>380</v>
      </c>
      <c r="C219">
        <v>20543</v>
      </c>
      <c r="D219" t="s">
        <v>381</v>
      </c>
      <c r="E219" s="6">
        <v>348.60000610351562</v>
      </c>
      <c r="G219">
        <v>1</v>
      </c>
      <c r="H219">
        <f t="shared" si="18"/>
        <v>3.486000061035156E-3</v>
      </c>
      <c r="J219">
        <v>1</v>
      </c>
      <c r="K219">
        <f t="shared" si="19"/>
        <v>3.486000061035156E-3</v>
      </c>
      <c r="M219">
        <v>1</v>
      </c>
      <c r="N219">
        <f t="shared" si="20"/>
        <v>3.486000061035156E-3</v>
      </c>
      <c r="P219">
        <v>3</v>
      </c>
      <c r="Q219">
        <f t="shared" si="21"/>
        <v>1.0458000183105469E-2</v>
      </c>
      <c r="S219">
        <v>1</v>
      </c>
      <c r="T219">
        <f t="shared" si="22"/>
        <v>3.486000061035156E-3</v>
      </c>
      <c r="V219">
        <f>_xlfn.XLOOKUP(B219,[1]Sheet1!$B:$B,[1]Sheet1!$C:$C,0,0,1)</f>
        <v>0</v>
      </c>
      <c r="W219">
        <f t="shared" si="23"/>
        <v>0</v>
      </c>
    </row>
    <row r="220" spans="1:23" x14ac:dyDescent="0.2">
      <c r="A220">
        <v>41355</v>
      </c>
      <c r="B220" t="s">
        <v>382</v>
      </c>
      <c r="C220">
        <v>21367</v>
      </c>
      <c r="D220" t="s">
        <v>383</v>
      </c>
      <c r="E220" s="6">
        <v>636.030029296875</v>
      </c>
      <c r="G220">
        <v>1</v>
      </c>
      <c r="H220">
        <f t="shared" si="18"/>
        <v>6.3603002929687501E-3</v>
      </c>
      <c r="J220">
        <v>0</v>
      </c>
      <c r="K220">
        <f t="shared" si="19"/>
        <v>0</v>
      </c>
      <c r="M220">
        <v>0</v>
      </c>
      <c r="N220">
        <f t="shared" si="20"/>
        <v>0</v>
      </c>
      <c r="P220">
        <v>0</v>
      </c>
      <c r="Q220">
        <f t="shared" si="21"/>
        <v>0</v>
      </c>
      <c r="S220">
        <v>0</v>
      </c>
      <c r="T220">
        <f t="shared" si="22"/>
        <v>0</v>
      </c>
      <c r="V220">
        <f>_xlfn.XLOOKUP(B220,[1]Sheet1!$B:$B,[1]Sheet1!$C:$C,0,0,1)</f>
        <v>0</v>
      </c>
      <c r="W220">
        <f t="shared" si="23"/>
        <v>0</v>
      </c>
    </row>
    <row r="221" spans="1:23" x14ac:dyDescent="0.2">
      <c r="A221">
        <v>42200</v>
      </c>
      <c r="B221" t="s">
        <v>384</v>
      </c>
      <c r="C221">
        <v>20616</v>
      </c>
      <c r="D221" t="s">
        <v>385</v>
      </c>
      <c r="E221" s="6">
        <v>111.61000061035156</v>
      </c>
      <c r="G221">
        <v>0</v>
      </c>
      <c r="H221">
        <f t="shared" si="18"/>
        <v>0</v>
      </c>
      <c r="J221">
        <v>0</v>
      </c>
      <c r="K221">
        <f t="shared" si="19"/>
        <v>0</v>
      </c>
      <c r="M221">
        <v>0</v>
      </c>
      <c r="N221">
        <f t="shared" si="20"/>
        <v>0</v>
      </c>
      <c r="P221">
        <v>0</v>
      </c>
      <c r="Q221">
        <f t="shared" si="21"/>
        <v>0</v>
      </c>
      <c r="S221">
        <v>0</v>
      </c>
      <c r="T221">
        <f t="shared" si="22"/>
        <v>0</v>
      </c>
      <c r="V221">
        <f>_xlfn.XLOOKUP(B221,[1]Sheet1!$B:$B,[1]Sheet1!$C:$C,0,0,1)</f>
        <v>0</v>
      </c>
      <c r="W221">
        <f t="shared" si="23"/>
        <v>0</v>
      </c>
    </row>
    <row r="222" spans="1:23" x14ac:dyDescent="0.2">
      <c r="A222">
        <v>42585</v>
      </c>
      <c r="B222" t="s">
        <v>386</v>
      </c>
      <c r="C222">
        <v>21629</v>
      </c>
      <c r="D222" t="s">
        <v>387</v>
      </c>
      <c r="E222" s="6">
        <v>110.12000274658203</v>
      </c>
      <c r="G222">
        <v>0</v>
      </c>
      <c r="H222">
        <f t="shared" si="18"/>
        <v>0</v>
      </c>
      <c r="J222">
        <v>0</v>
      </c>
      <c r="K222">
        <f t="shared" si="19"/>
        <v>0</v>
      </c>
      <c r="M222">
        <v>2</v>
      </c>
      <c r="N222">
        <f t="shared" si="20"/>
        <v>2.2024000549316406E-3</v>
      </c>
      <c r="P222">
        <v>0</v>
      </c>
      <c r="Q222">
        <f t="shared" si="21"/>
        <v>0</v>
      </c>
      <c r="S222">
        <v>0</v>
      </c>
      <c r="T222">
        <f t="shared" si="22"/>
        <v>0</v>
      </c>
      <c r="V222">
        <f>_xlfn.XLOOKUP(B222,[1]Sheet1!$B:$B,[1]Sheet1!$C:$C,0,0,1)</f>
        <v>0</v>
      </c>
      <c r="W222">
        <f t="shared" si="23"/>
        <v>0</v>
      </c>
    </row>
    <row r="223" spans="1:23" x14ac:dyDescent="0.2">
      <c r="A223">
        <v>42877</v>
      </c>
      <c r="B223" t="s">
        <v>388</v>
      </c>
      <c r="C223">
        <v>6606</v>
      </c>
      <c r="D223" t="s">
        <v>389</v>
      </c>
      <c r="E223" s="6">
        <v>170.66000366210938</v>
      </c>
      <c r="G223">
        <v>0</v>
      </c>
      <c r="H223">
        <f t="shared" si="18"/>
        <v>0</v>
      </c>
      <c r="J223">
        <v>4</v>
      </c>
      <c r="K223">
        <f t="shared" si="19"/>
        <v>6.8264001464843748E-3</v>
      </c>
      <c r="M223">
        <v>1</v>
      </c>
      <c r="N223">
        <f t="shared" si="20"/>
        <v>1.7066000366210937E-3</v>
      </c>
      <c r="P223">
        <v>0</v>
      </c>
      <c r="Q223">
        <f t="shared" si="21"/>
        <v>0</v>
      </c>
      <c r="S223">
        <v>3</v>
      </c>
      <c r="T223">
        <f t="shared" si="22"/>
        <v>5.1198001098632815E-3</v>
      </c>
      <c r="V223">
        <f>_xlfn.XLOOKUP(B223,[1]Sheet1!$B:$B,[1]Sheet1!$C:$C,0,0,1)</f>
        <v>0</v>
      </c>
      <c r="W223">
        <f t="shared" si="23"/>
        <v>0</v>
      </c>
    </row>
    <row r="224" spans="1:23" x14ac:dyDescent="0.2">
      <c r="A224">
        <v>42906</v>
      </c>
      <c r="B224" t="s">
        <v>390</v>
      </c>
      <c r="C224">
        <v>2093</v>
      </c>
      <c r="D224" t="s">
        <v>391</v>
      </c>
      <c r="E224" s="6">
        <v>16.270000457763672</v>
      </c>
      <c r="G224">
        <v>4</v>
      </c>
      <c r="H224">
        <f t="shared" si="18"/>
        <v>6.5080001831054686E-4</v>
      </c>
      <c r="J224">
        <v>7</v>
      </c>
      <c r="K224">
        <f t="shared" si="19"/>
        <v>1.1389000320434571E-3</v>
      </c>
      <c r="M224">
        <v>14</v>
      </c>
      <c r="N224">
        <f t="shared" si="20"/>
        <v>2.2778000640869141E-3</v>
      </c>
      <c r="P224">
        <v>48</v>
      </c>
      <c r="Q224">
        <f t="shared" si="21"/>
        <v>7.8096002197265623E-3</v>
      </c>
      <c r="S224">
        <v>2</v>
      </c>
      <c r="T224">
        <f t="shared" si="22"/>
        <v>3.2540000915527343E-4</v>
      </c>
      <c r="V224">
        <f>_xlfn.XLOOKUP(B224,[1]Sheet1!$B:$B,[1]Sheet1!$C:$C,0,0,1)</f>
        <v>0</v>
      </c>
      <c r="W224">
        <f t="shared" si="23"/>
        <v>0</v>
      </c>
    </row>
    <row r="225" spans="1:23" x14ac:dyDescent="0.2">
      <c r="A225">
        <v>43123</v>
      </c>
      <c r="B225" t="s">
        <v>392</v>
      </c>
      <c r="C225">
        <v>21722</v>
      </c>
      <c r="D225" t="s">
        <v>393</v>
      </c>
      <c r="E225" s="6">
        <v>55.040000915527344</v>
      </c>
      <c r="G225">
        <v>6</v>
      </c>
      <c r="H225">
        <f t="shared" si="18"/>
        <v>3.3024000549316404E-3</v>
      </c>
      <c r="J225">
        <v>5</v>
      </c>
      <c r="K225">
        <f t="shared" si="19"/>
        <v>2.7520000457763672E-3</v>
      </c>
      <c r="M225">
        <v>0</v>
      </c>
      <c r="N225">
        <f t="shared" si="20"/>
        <v>0</v>
      </c>
      <c r="P225">
        <v>0</v>
      </c>
      <c r="Q225">
        <f t="shared" si="21"/>
        <v>0</v>
      </c>
      <c r="S225">
        <v>5</v>
      </c>
      <c r="T225">
        <f t="shared" si="22"/>
        <v>2.7520000457763672E-3</v>
      </c>
      <c r="V225">
        <f>_xlfn.XLOOKUP(B225,[1]Sheet1!$B:$B,[1]Sheet1!$C:$C,0,0,1)</f>
        <v>0</v>
      </c>
      <c r="W225">
        <f t="shared" si="23"/>
        <v>0</v>
      </c>
    </row>
    <row r="226" spans="1:23" x14ac:dyDescent="0.2">
      <c r="A226">
        <v>43350</v>
      </c>
      <c r="B226" t="s">
        <v>394</v>
      </c>
      <c r="C226">
        <v>21664</v>
      </c>
      <c r="D226" t="s">
        <v>395</v>
      </c>
      <c r="E226" s="6">
        <v>80.290000915527344</v>
      </c>
      <c r="G226">
        <v>0</v>
      </c>
      <c r="H226">
        <f t="shared" si="18"/>
        <v>0</v>
      </c>
      <c r="J226">
        <v>2</v>
      </c>
      <c r="K226">
        <f t="shared" si="19"/>
        <v>1.605800018310547E-3</v>
      </c>
      <c r="M226">
        <v>3</v>
      </c>
      <c r="N226">
        <f t="shared" si="20"/>
        <v>2.4087000274658201E-3</v>
      </c>
      <c r="P226">
        <v>0</v>
      </c>
      <c r="Q226">
        <f t="shared" si="21"/>
        <v>0</v>
      </c>
      <c r="S226">
        <v>0</v>
      </c>
      <c r="T226">
        <f t="shared" si="22"/>
        <v>0</v>
      </c>
      <c r="V226">
        <f>_xlfn.XLOOKUP(B226,[1]Sheet1!$B:$B,[1]Sheet1!$C:$C,0,0,1)</f>
        <v>0</v>
      </c>
      <c r="W226">
        <f t="shared" si="23"/>
        <v>0</v>
      </c>
    </row>
    <row r="227" spans="1:23" x14ac:dyDescent="0.2">
      <c r="A227">
        <v>43449</v>
      </c>
      <c r="B227" t="s">
        <v>396</v>
      </c>
      <c r="C227">
        <v>21177</v>
      </c>
      <c r="D227" t="s">
        <v>397</v>
      </c>
      <c r="E227" s="6">
        <v>289.8900146484375</v>
      </c>
      <c r="G227">
        <v>0</v>
      </c>
      <c r="H227">
        <f t="shared" si="18"/>
        <v>0</v>
      </c>
      <c r="J227">
        <v>0</v>
      </c>
      <c r="K227">
        <f t="shared" si="19"/>
        <v>0</v>
      </c>
      <c r="M227">
        <v>1</v>
      </c>
      <c r="N227">
        <f t="shared" si="20"/>
        <v>2.8989001464843748E-3</v>
      </c>
      <c r="P227">
        <v>0</v>
      </c>
      <c r="Q227">
        <f t="shared" si="21"/>
        <v>0</v>
      </c>
      <c r="S227">
        <v>2</v>
      </c>
      <c r="T227">
        <f t="shared" si="22"/>
        <v>5.7978002929687496E-3</v>
      </c>
      <c r="V227">
        <f>_xlfn.XLOOKUP(B227,[1]Sheet1!$B:$B,[1]Sheet1!$C:$C,0,0,1)</f>
        <v>0</v>
      </c>
      <c r="W227">
        <f t="shared" si="23"/>
        <v>0</v>
      </c>
    </row>
    <row r="228" spans="1:23" x14ac:dyDescent="0.2">
      <c r="A228">
        <v>44206</v>
      </c>
      <c r="B228" t="s">
        <v>398</v>
      </c>
      <c r="C228">
        <v>21299</v>
      </c>
      <c r="D228" t="s">
        <v>399</v>
      </c>
      <c r="E228" s="6">
        <v>57.430000305175781</v>
      </c>
      <c r="G228">
        <v>0</v>
      </c>
      <c r="H228">
        <f t="shared" si="18"/>
        <v>0</v>
      </c>
      <c r="J228">
        <v>0</v>
      </c>
      <c r="K228">
        <f t="shared" si="19"/>
        <v>0</v>
      </c>
      <c r="M228">
        <v>6</v>
      </c>
      <c r="N228">
        <f t="shared" si="20"/>
        <v>3.4458000183105468E-3</v>
      </c>
      <c r="P228">
        <v>0</v>
      </c>
      <c r="Q228">
        <f t="shared" si="21"/>
        <v>0</v>
      </c>
      <c r="S228">
        <v>0</v>
      </c>
      <c r="T228">
        <f t="shared" si="22"/>
        <v>0</v>
      </c>
      <c r="V228">
        <f>_xlfn.XLOOKUP(B228,[1]Sheet1!$B:$B,[1]Sheet1!$C:$C,0,0,1)</f>
        <v>0</v>
      </c>
      <c r="W228">
        <f t="shared" si="23"/>
        <v>0</v>
      </c>
    </row>
    <row r="229" spans="1:23" x14ac:dyDescent="0.2">
      <c r="A229">
        <v>44329</v>
      </c>
      <c r="B229" t="s">
        <v>400</v>
      </c>
      <c r="C229">
        <v>21723</v>
      </c>
      <c r="D229" t="s">
        <v>401</v>
      </c>
      <c r="E229" s="6">
        <v>177.97999572753906</v>
      </c>
      <c r="G229">
        <v>0</v>
      </c>
      <c r="H229">
        <f t="shared" si="18"/>
        <v>0</v>
      </c>
      <c r="J229">
        <v>0</v>
      </c>
      <c r="K229">
        <f t="shared" si="19"/>
        <v>0</v>
      </c>
      <c r="M229">
        <v>1</v>
      </c>
      <c r="N229">
        <f t="shared" si="20"/>
        <v>1.7797999572753906E-3</v>
      </c>
      <c r="P229">
        <v>0</v>
      </c>
      <c r="Q229">
        <f t="shared" si="21"/>
        <v>0</v>
      </c>
      <c r="S229">
        <v>1</v>
      </c>
      <c r="T229">
        <f t="shared" si="22"/>
        <v>1.7797999572753906E-3</v>
      </c>
      <c r="V229">
        <f>_xlfn.XLOOKUP(B229,[1]Sheet1!$B:$B,[1]Sheet1!$C:$C,0,0,1)</f>
        <v>0</v>
      </c>
      <c r="W229">
        <f t="shared" si="23"/>
        <v>0</v>
      </c>
    </row>
    <row r="230" spans="1:23" x14ac:dyDescent="0.2">
      <c r="A230">
        <v>44601</v>
      </c>
      <c r="B230" t="s">
        <v>402</v>
      </c>
      <c r="C230">
        <v>20238</v>
      </c>
      <c r="D230" t="s">
        <v>403</v>
      </c>
      <c r="E230" s="6">
        <v>187.1300048828125</v>
      </c>
      <c r="G230">
        <v>0</v>
      </c>
      <c r="H230">
        <f t="shared" si="18"/>
        <v>0</v>
      </c>
      <c r="J230">
        <v>0</v>
      </c>
      <c r="K230">
        <f t="shared" si="19"/>
        <v>0</v>
      </c>
      <c r="M230">
        <v>1</v>
      </c>
      <c r="N230">
        <f t="shared" si="20"/>
        <v>1.8713000488281249E-3</v>
      </c>
      <c r="P230">
        <v>0</v>
      </c>
      <c r="Q230">
        <f t="shared" si="21"/>
        <v>0</v>
      </c>
      <c r="S230">
        <v>0</v>
      </c>
      <c r="T230">
        <f t="shared" si="22"/>
        <v>0</v>
      </c>
      <c r="V230">
        <f>_xlfn.XLOOKUP(B230,[1]Sheet1!$B:$B,[1]Sheet1!$C:$C,0,0,1)</f>
        <v>0</v>
      </c>
      <c r="W230">
        <f t="shared" si="23"/>
        <v>0</v>
      </c>
    </row>
    <row r="231" spans="1:23" x14ac:dyDescent="0.2">
      <c r="A231">
        <v>44644</v>
      </c>
      <c r="B231" t="s">
        <v>404</v>
      </c>
      <c r="C231">
        <v>20235</v>
      </c>
      <c r="D231" t="s">
        <v>405</v>
      </c>
      <c r="E231" s="6">
        <v>292.73001098632812</v>
      </c>
      <c r="G231">
        <v>0</v>
      </c>
      <c r="H231">
        <f t="shared" si="18"/>
        <v>0</v>
      </c>
      <c r="J231">
        <v>6</v>
      </c>
      <c r="K231">
        <f t="shared" si="19"/>
        <v>1.7563800659179687E-2</v>
      </c>
      <c r="M231">
        <v>1</v>
      </c>
      <c r="N231">
        <f t="shared" si="20"/>
        <v>2.9273001098632811E-3</v>
      </c>
      <c r="P231">
        <v>5</v>
      </c>
      <c r="Q231">
        <f t="shared" si="21"/>
        <v>1.4636500549316407E-2</v>
      </c>
      <c r="S231">
        <v>7</v>
      </c>
      <c r="T231">
        <f t="shared" si="22"/>
        <v>2.049110076904297E-2</v>
      </c>
      <c r="V231">
        <f>_xlfn.XLOOKUP(B231,[1]Sheet1!$B:$B,[1]Sheet1!$C:$C,0,0,1)</f>
        <v>0</v>
      </c>
      <c r="W231">
        <f t="shared" si="23"/>
        <v>0</v>
      </c>
    </row>
    <row r="232" spans="1:23" x14ac:dyDescent="0.2">
      <c r="A232">
        <v>45356</v>
      </c>
      <c r="B232" t="s">
        <v>406</v>
      </c>
      <c r="C232">
        <v>21791</v>
      </c>
      <c r="D232" t="s">
        <v>407</v>
      </c>
      <c r="E232" s="6">
        <v>78.930000305175781</v>
      </c>
      <c r="G232">
        <v>1</v>
      </c>
      <c r="H232">
        <f t="shared" si="18"/>
        <v>7.8930000305175779E-4</v>
      </c>
      <c r="J232">
        <v>1</v>
      </c>
      <c r="K232">
        <f t="shared" si="19"/>
        <v>7.8930000305175779E-4</v>
      </c>
      <c r="M232">
        <v>2</v>
      </c>
      <c r="N232">
        <f t="shared" si="20"/>
        <v>1.5786000061035156E-3</v>
      </c>
      <c r="P232">
        <v>9</v>
      </c>
      <c r="Q232">
        <f t="shared" si="21"/>
        <v>7.1037000274658205E-3</v>
      </c>
      <c r="S232">
        <v>1</v>
      </c>
      <c r="T232">
        <f t="shared" si="22"/>
        <v>7.8930000305175779E-4</v>
      </c>
      <c r="V232">
        <f>_xlfn.XLOOKUP(B232,[1]Sheet1!$B:$B,[1]Sheet1!$C:$C,0,0,1)</f>
        <v>0</v>
      </c>
      <c r="W232">
        <f t="shared" si="23"/>
        <v>0</v>
      </c>
    </row>
    <row r="233" spans="1:23" x14ac:dyDescent="0.2">
      <c r="A233">
        <v>45751</v>
      </c>
      <c r="B233" t="s">
        <v>408</v>
      </c>
      <c r="C233">
        <v>21158</v>
      </c>
      <c r="D233" t="s">
        <v>409</v>
      </c>
      <c r="E233" s="6">
        <v>212.41000366210938</v>
      </c>
      <c r="G233">
        <v>1</v>
      </c>
      <c r="H233">
        <f t="shared" si="18"/>
        <v>2.1241000366210936E-3</v>
      </c>
      <c r="J233">
        <v>0</v>
      </c>
      <c r="K233">
        <f t="shared" si="19"/>
        <v>0</v>
      </c>
      <c r="M233">
        <v>1</v>
      </c>
      <c r="N233">
        <f t="shared" si="20"/>
        <v>2.1241000366210936E-3</v>
      </c>
      <c r="P233">
        <v>0</v>
      </c>
      <c r="Q233">
        <f t="shared" si="21"/>
        <v>0</v>
      </c>
      <c r="S233">
        <v>0</v>
      </c>
      <c r="T233">
        <f t="shared" si="22"/>
        <v>0</v>
      </c>
      <c r="V233">
        <f>_xlfn.XLOOKUP(B233,[1]Sheet1!$B:$B,[1]Sheet1!$C:$C,0,0,1)</f>
        <v>0</v>
      </c>
      <c r="W233">
        <f t="shared" si="23"/>
        <v>0</v>
      </c>
    </row>
    <row r="234" spans="1:23" x14ac:dyDescent="0.2">
      <c r="A234">
        <v>45911</v>
      </c>
      <c r="B234" t="s">
        <v>410</v>
      </c>
      <c r="C234">
        <v>20058</v>
      </c>
      <c r="D234" t="s">
        <v>411</v>
      </c>
      <c r="E234" s="6">
        <v>88.680000305175781</v>
      </c>
      <c r="G234">
        <v>0</v>
      </c>
      <c r="H234">
        <f t="shared" si="18"/>
        <v>0</v>
      </c>
      <c r="J234">
        <v>0</v>
      </c>
      <c r="K234">
        <f t="shared" si="19"/>
        <v>0</v>
      </c>
      <c r="M234">
        <v>1</v>
      </c>
      <c r="N234">
        <f t="shared" si="20"/>
        <v>8.8680000305175783E-4</v>
      </c>
      <c r="P234">
        <v>0</v>
      </c>
      <c r="Q234">
        <f t="shared" si="21"/>
        <v>0</v>
      </c>
      <c r="S234">
        <v>1</v>
      </c>
      <c r="T234">
        <f t="shared" si="22"/>
        <v>8.8680000305175783E-4</v>
      </c>
      <c r="V234">
        <f>_xlfn.XLOOKUP(B234,[1]Sheet1!$B:$B,[1]Sheet1!$C:$C,0,0,1)</f>
        <v>0</v>
      </c>
      <c r="W234">
        <f t="shared" si="23"/>
        <v>0</v>
      </c>
    </row>
    <row r="235" spans="1:23" x14ac:dyDescent="0.2">
      <c r="A235">
        <v>46578</v>
      </c>
      <c r="B235" t="s">
        <v>412</v>
      </c>
      <c r="C235">
        <v>20463</v>
      </c>
      <c r="D235" t="s">
        <v>413</v>
      </c>
      <c r="E235" s="6">
        <v>162.41000366210938</v>
      </c>
      <c r="G235">
        <v>0</v>
      </c>
      <c r="H235">
        <f t="shared" si="18"/>
        <v>0</v>
      </c>
      <c r="J235">
        <v>0</v>
      </c>
      <c r="K235">
        <f t="shared" si="19"/>
        <v>0</v>
      </c>
      <c r="M235">
        <v>1</v>
      </c>
      <c r="N235">
        <f t="shared" si="20"/>
        <v>1.6241000366210938E-3</v>
      </c>
      <c r="P235">
        <v>0</v>
      </c>
      <c r="Q235">
        <f t="shared" si="21"/>
        <v>0</v>
      </c>
      <c r="S235">
        <v>0</v>
      </c>
      <c r="T235">
        <f t="shared" si="22"/>
        <v>0</v>
      </c>
      <c r="V235">
        <f>_xlfn.XLOOKUP(B235,[1]Sheet1!$B:$B,[1]Sheet1!$C:$C,0,0,1)</f>
        <v>0</v>
      </c>
      <c r="W235">
        <f t="shared" si="23"/>
        <v>0</v>
      </c>
    </row>
    <row r="236" spans="1:23" x14ac:dyDescent="0.2">
      <c r="A236">
        <v>46674</v>
      </c>
      <c r="B236" t="s">
        <v>414</v>
      </c>
      <c r="C236">
        <v>20807</v>
      </c>
      <c r="D236" t="s">
        <v>415</v>
      </c>
      <c r="E236" s="6">
        <v>116.76000213623047</v>
      </c>
      <c r="G236">
        <v>0</v>
      </c>
      <c r="H236">
        <f t="shared" si="18"/>
        <v>0</v>
      </c>
      <c r="J236">
        <v>0</v>
      </c>
      <c r="K236">
        <f t="shared" si="19"/>
        <v>0</v>
      </c>
      <c r="M236">
        <v>2</v>
      </c>
      <c r="N236">
        <f t="shared" si="20"/>
        <v>2.3352000427246094E-3</v>
      </c>
      <c r="P236">
        <v>0</v>
      </c>
      <c r="Q236">
        <f t="shared" si="21"/>
        <v>0</v>
      </c>
      <c r="S236">
        <v>0</v>
      </c>
      <c r="T236">
        <f t="shared" si="22"/>
        <v>0</v>
      </c>
      <c r="V236">
        <f>_xlfn.XLOOKUP(B236,[1]Sheet1!$B:$B,[1]Sheet1!$C:$C,0,0,1)</f>
        <v>0</v>
      </c>
      <c r="W236">
        <f t="shared" si="23"/>
        <v>0</v>
      </c>
    </row>
    <row r="237" spans="1:23" x14ac:dyDescent="0.2">
      <c r="A237">
        <v>46703</v>
      </c>
      <c r="B237" t="s">
        <v>416</v>
      </c>
      <c r="C237">
        <v>21157</v>
      </c>
      <c r="D237" t="s">
        <v>417</v>
      </c>
      <c r="E237" s="6">
        <v>17.520000457763672</v>
      </c>
      <c r="G237">
        <v>3</v>
      </c>
      <c r="H237">
        <f t="shared" si="18"/>
        <v>5.2560001373291019E-4</v>
      </c>
      <c r="J237">
        <v>15</v>
      </c>
      <c r="K237">
        <f t="shared" si="19"/>
        <v>2.6280000686645507E-3</v>
      </c>
      <c r="M237">
        <v>13</v>
      </c>
      <c r="N237">
        <f t="shared" si="20"/>
        <v>2.2776000595092771E-3</v>
      </c>
      <c r="P237">
        <v>0</v>
      </c>
      <c r="Q237">
        <f t="shared" si="21"/>
        <v>0</v>
      </c>
      <c r="S237">
        <v>27</v>
      </c>
      <c r="T237">
        <f t="shared" si="22"/>
        <v>4.7304001235961915E-3</v>
      </c>
      <c r="V237">
        <f>_xlfn.XLOOKUP(B237,[1]Sheet1!$B:$B,[1]Sheet1!$C:$C,0,0,1)</f>
        <v>0</v>
      </c>
      <c r="W237">
        <f t="shared" si="23"/>
        <v>0</v>
      </c>
    </row>
    <row r="238" spans="1:23" x14ac:dyDescent="0.2">
      <c r="A238">
        <v>46886</v>
      </c>
      <c r="B238" t="s">
        <v>418</v>
      </c>
      <c r="C238">
        <v>2551</v>
      </c>
      <c r="D238" t="s">
        <v>419</v>
      </c>
      <c r="E238" s="6">
        <v>630.1199951171875</v>
      </c>
      <c r="G238">
        <v>0</v>
      </c>
      <c r="H238">
        <f t="shared" si="18"/>
        <v>0</v>
      </c>
      <c r="J238">
        <v>1</v>
      </c>
      <c r="K238">
        <f t="shared" si="19"/>
        <v>6.3011999511718752E-3</v>
      </c>
      <c r="M238">
        <v>0</v>
      </c>
      <c r="N238">
        <f t="shared" si="20"/>
        <v>0</v>
      </c>
      <c r="P238">
        <v>0</v>
      </c>
      <c r="Q238">
        <f t="shared" si="21"/>
        <v>0</v>
      </c>
      <c r="S238">
        <v>1</v>
      </c>
      <c r="T238">
        <f t="shared" si="22"/>
        <v>6.3011999511718752E-3</v>
      </c>
      <c r="V238">
        <f>_xlfn.XLOOKUP(B238,[1]Sheet1!$B:$B,[1]Sheet1!$C:$C,0,0,1)</f>
        <v>0</v>
      </c>
      <c r="W238">
        <f t="shared" si="23"/>
        <v>0</v>
      </c>
    </row>
    <row r="239" spans="1:23" x14ac:dyDescent="0.2">
      <c r="A239">
        <v>47896</v>
      </c>
      <c r="B239" t="s">
        <v>420</v>
      </c>
      <c r="C239">
        <v>20436</v>
      </c>
      <c r="D239" t="s">
        <v>421</v>
      </c>
      <c r="E239" s="6">
        <v>239.71000671386719</v>
      </c>
      <c r="G239">
        <v>1</v>
      </c>
      <c r="H239">
        <f t="shared" si="18"/>
        <v>2.3971000671386719E-3</v>
      </c>
      <c r="J239">
        <v>0</v>
      </c>
      <c r="K239">
        <f t="shared" si="19"/>
        <v>0</v>
      </c>
      <c r="M239">
        <v>1</v>
      </c>
      <c r="N239">
        <f t="shared" si="20"/>
        <v>2.3971000671386719E-3</v>
      </c>
      <c r="P239">
        <v>4</v>
      </c>
      <c r="Q239">
        <f t="shared" si="21"/>
        <v>9.5884002685546876E-3</v>
      </c>
      <c r="S239">
        <v>0</v>
      </c>
      <c r="T239">
        <f t="shared" si="22"/>
        <v>0</v>
      </c>
      <c r="V239">
        <f>_xlfn.XLOOKUP(B239,[1]Sheet1!$B:$B,[1]Sheet1!$C:$C,0,0,1)</f>
        <v>0</v>
      </c>
      <c r="W239">
        <f t="shared" si="23"/>
        <v>0</v>
      </c>
    </row>
    <row r="240" spans="1:23" x14ac:dyDescent="0.2">
      <c r="A240">
        <v>48486</v>
      </c>
      <c r="B240" t="s">
        <v>422</v>
      </c>
      <c r="C240">
        <v>7013</v>
      </c>
      <c r="D240" t="s">
        <v>423</v>
      </c>
      <c r="E240" s="6">
        <v>72.230003356933594</v>
      </c>
      <c r="G240">
        <v>4</v>
      </c>
      <c r="H240">
        <f t="shared" si="18"/>
        <v>2.8892001342773438E-3</v>
      </c>
      <c r="J240">
        <v>1</v>
      </c>
      <c r="K240">
        <f t="shared" si="19"/>
        <v>7.2230003356933594E-4</v>
      </c>
      <c r="M240">
        <v>3</v>
      </c>
      <c r="N240">
        <f t="shared" si="20"/>
        <v>2.1669001007080077E-3</v>
      </c>
      <c r="P240">
        <v>0</v>
      </c>
      <c r="Q240">
        <f t="shared" si="21"/>
        <v>0</v>
      </c>
      <c r="S240">
        <v>0</v>
      </c>
      <c r="T240">
        <f t="shared" si="22"/>
        <v>0</v>
      </c>
      <c r="V240">
        <f>_xlfn.XLOOKUP(B240,[1]Sheet1!$B:$B,[1]Sheet1!$C:$C,0,0,1)</f>
        <v>0</v>
      </c>
      <c r="W240">
        <f t="shared" si="23"/>
        <v>0</v>
      </c>
    </row>
    <row r="241" spans="1:23" x14ac:dyDescent="0.2">
      <c r="A241">
        <v>48506</v>
      </c>
      <c r="B241" t="s">
        <v>424</v>
      </c>
      <c r="C241">
        <v>20610</v>
      </c>
      <c r="D241" t="s">
        <v>425</v>
      </c>
      <c r="E241" s="6">
        <v>473.3699951171875</v>
      </c>
      <c r="G241">
        <v>1</v>
      </c>
      <c r="H241">
        <f t="shared" si="18"/>
        <v>4.7336999511718748E-3</v>
      </c>
      <c r="J241">
        <v>1</v>
      </c>
      <c r="K241">
        <f t="shared" si="19"/>
        <v>4.7336999511718748E-3</v>
      </c>
      <c r="M241">
        <v>0</v>
      </c>
      <c r="N241">
        <f t="shared" si="20"/>
        <v>0</v>
      </c>
      <c r="P241">
        <v>0</v>
      </c>
      <c r="Q241">
        <f t="shared" si="21"/>
        <v>0</v>
      </c>
      <c r="S241">
        <v>1</v>
      </c>
      <c r="T241">
        <f t="shared" si="22"/>
        <v>4.7336999511718748E-3</v>
      </c>
      <c r="V241">
        <f>_xlfn.XLOOKUP(B241,[1]Sheet1!$B:$B,[1]Sheet1!$C:$C,0,0,1)</f>
        <v>0</v>
      </c>
      <c r="W241">
        <f t="shared" si="23"/>
        <v>0</v>
      </c>
    </row>
    <row r="242" spans="1:23" x14ac:dyDescent="0.2">
      <c r="A242">
        <v>48653</v>
      </c>
      <c r="B242" t="s">
        <v>426</v>
      </c>
      <c r="C242">
        <v>20950</v>
      </c>
      <c r="D242" t="s">
        <v>427</v>
      </c>
      <c r="E242" s="6">
        <v>253.71000671386719</v>
      </c>
      <c r="G242">
        <v>0</v>
      </c>
      <c r="H242">
        <f t="shared" si="18"/>
        <v>0</v>
      </c>
      <c r="J242">
        <v>0</v>
      </c>
      <c r="K242">
        <f t="shared" si="19"/>
        <v>0</v>
      </c>
      <c r="M242">
        <v>0</v>
      </c>
      <c r="N242">
        <f t="shared" si="20"/>
        <v>0</v>
      </c>
      <c r="P242">
        <v>0</v>
      </c>
      <c r="Q242">
        <f t="shared" si="21"/>
        <v>0</v>
      </c>
      <c r="S242">
        <v>0</v>
      </c>
      <c r="T242">
        <f t="shared" si="22"/>
        <v>0</v>
      </c>
      <c r="V242">
        <f>_xlfn.XLOOKUP(B242,[1]Sheet1!$B:$B,[1]Sheet1!$C:$C,0,0,1)</f>
        <v>0</v>
      </c>
      <c r="W242">
        <f t="shared" si="23"/>
        <v>0</v>
      </c>
    </row>
    <row r="243" spans="1:23" x14ac:dyDescent="0.2">
      <c r="A243">
        <v>48725</v>
      </c>
      <c r="B243" t="s">
        <v>428</v>
      </c>
      <c r="C243">
        <v>21810</v>
      </c>
      <c r="D243" t="s">
        <v>429</v>
      </c>
      <c r="E243" s="6">
        <v>228.03999328613281</v>
      </c>
      <c r="G243">
        <v>0</v>
      </c>
      <c r="H243">
        <f t="shared" si="18"/>
        <v>0</v>
      </c>
      <c r="J243">
        <v>0</v>
      </c>
      <c r="K243">
        <f t="shared" si="19"/>
        <v>0</v>
      </c>
      <c r="M243">
        <v>1</v>
      </c>
      <c r="N243">
        <f t="shared" si="20"/>
        <v>2.2803999328613279E-3</v>
      </c>
      <c r="P243">
        <v>0</v>
      </c>
      <c r="Q243">
        <f t="shared" si="21"/>
        <v>0</v>
      </c>
      <c r="S243">
        <v>0</v>
      </c>
      <c r="T243">
        <f t="shared" si="22"/>
        <v>0</v>
      </c>
      <c r="V243">
        <f>_xlfn.XLOOKUP(B243,[1]Sheet1!$B:$B,[1]Sheet1!$C:$C,0,0,1)</f>
        <v>0</v>
      </c>
      <c r="W243">
        <f t="shared" si="23"/>
        <v>0</v>
      </c>
    </row>
    <row r="244" spans="1:23" x14ac:dyDescent="0.2">
      <c r="A244">
        <v>49154</v>
      </c>
      <c r="B244" t="s">
        <v>430</v>
      </c>
      <c r="C244">
        <v>20561</v>
      </c>
      <c r="D244" t="s">
        <v>431</v>
      </c>
      <c r="E244" s="6">
        <v>135.17999267578125</v>
      </c>
      <c r="G244">
        <v>0</v>
      </c>
      <c r="H244">
        <f t="shared" si="18"/>
        <v>0</v>
      </c>
      <c r="J244">
        <v>0</v>
      </c>
      <c r="K244">
        <f t="shared" si="19"/>
        <v>0</v>
      </c>
      <c r="M244">
        <v>1</v>
      </c>
      <c r="N244">
        <f t="shared" si="20"/>
        <v>1.3517999267578125E-3</v>
      </c>
      <c r="P244">
        <v>0</v>
      </c>
      <c r="Q244">
        <f t="shared" si="21"/>
        <v>0</v>
      </c>
      <c r="S244">
        <v>0</v>
      </c>
      <c r="T244">
        <f t="shared" si="22"/>
        <v>0</v>
      </c>
      <c r="V244">
        <f>_xlfn.XLOOKUP(B244,[1]Sheet1!$B:$B,[1]Sheet1!$C:$C,0,0,1)</f>
        <v>0</v>
      </c>
      <c r="W244">
        <f t="shared" si="23"/>
        <v>0</v>
      </c>
    </row>
    <row r="245" spans="1:23" x14ac:dyDescent="0.2">
      <c r="A245">
        <v>49656</v>
      </c>
      <c r="B245" t="s">
        <v>432</v>
      </c>
      <c r="C245">
        <v>20265</v>
      </c>
      <c r="D245" t="s">
        <v>433</v>
      </c>
      <c r="E245" s="6">
        <v>76.830001831054688</v>
      </c>
      <c r="G245">
        <v>4</v>
      </c>
      <c r="H245">
        <f t="shared" si="18"/>
        <v>3.0732000732421874E-3</v>
      </c>
      <c r="J245">
        <v>6</v>
      </c>
      <c r="K245">
        <f t="shared" si="19"/>
        <v>4.6098001098632815E-3</v>
      </c>
      <c r="M245">
        <v>4</v>
      </c>
      <c r="N245">
        <f t="shared" si="20"/>
        <v>3.0732000732421874E-3</v>
      </c>
      <c r="P245">
        <v>17</v>
      </c>
      <c r="Q245">
        <f t="shared" si="21"/>
        <v>1.3061100311279297E-2</v>
      </c>
      <c r="S245">
        <v>6</v>
      </c>
      <c r="T245">
        <f t="shared" si="22"/>
        <v>4.6098001098632815E-3</v>
      </c>
      <c r="V245">
        <f>_xlfn.XLOOKUP(B245,[1]Sheet1!$B:$B,[1]Sheet1!$C:$C,0,0,1)</f>
        <v>0</v>
      </c>
      <c r="W245">
        <f t="shared" si="23"/>
        <v>0</v>
      </c>
    </row>
    <row r="246" spans="1:23" x14ac:dyDescent="0.2">
      <c r="A246">
        <v>49680</v>
      </c>
      <c r="B246" t="s">
        <v>434</v>
      </c>
      <c r="C246">
        <v>20557</v>
      </c>
      <c r="D246" t="s">
        <v>435</v>
      </c>
      <c r="E246" s="6">
        <v>229.55000305175781</v>
      </c>
      <c r="G246">
        <v>0</v>
      </c>
      <c r="H246">
        <f t="shared" si="18"/>
        <v>0</v>
      </c>
      <c r="J246">
        <v>1</v>
      </c>
      <c r="K246">
        <f t="shared" si="19"/>
        <v>2.2955000305175783E-3</v>
      </c>
      <c r="M246">
        <v>1</v>
      </c>
      <c r="N246">
        <f t="shared" si="20"/>
        <v>2.2955000305175783E-3</v>
      </c>
      <c r="P246">
        <v>0</v>
      </c>
      <c r="Q246">
        <f t="shared" si="21"/>
        <v>0</v>
      </c>
      <c r="S246">
        <v>2</v>
      </c>
      <c r="T246">
        <f t="shared" si="22"/>
        <v>4.5910000610351566E-3</v>
      </c>
      <c r="V246">
        <f>_xlfn.XLOOKUP(B246,[1]Sheet1!$B:$B,[1]Sheet1!$C:$C,0,0,1)</f>
        <v>0</v>
      </c>
      <c r="W246">
        <f t="shared" si="23"/>
        <v>0</v>
      </c>
    </row>
    <row r="247" spans="1:23" x14ac:dyDescent="0.2">
      <c r="A247">
        <v>50286</v>
      </c>
      <c r="B247" t="s">
        <v>436</v>
      </c>
      <c r="C247">
        <v>21090</v>
      </c>
      <c r="D247" t="s">
        <v>437</v>
      </c>
      <c r="E247" s="6">
        <v>14.779999732971191</v>
      </c>
      <c r="G247">
        <v>0</v>
      </c>
      <c r="H247">
        <f t="shared" si="18"/>
        <v>0</v>
      </c>
      <c r="J247">
        <v>0</v>
      </c>
      <c r="K247">
        <f t="shared" si="19"/>
        <v>0</v>
      </c>
      <c r="M247">
        <v>0</v>
      </c>
      <c r="N247">
        <f t="shared" si="20"/>
        <v>0</v>
      </c>
      <c r="P247">
        <v>0</v>
      </c>
      <c r="Q247">
        <f t="shared" si="21"/>
        <v>0</v>
      </c>
      <c r="S247">
        <v>0</v>
      </c>
      <c r="T247">
        <f t="shared" si="22"/>
        <v>0</v>
      </c>
      <c r="V247">
        <f>_xlfn.XLOOKUP(B247,[1]Sheet1!$B:$B,[1]Sheet1!$C:$C,0,0,1)</f>
        <v>0</v>
      </c>
      <c r="W247">
        <f t="shared" si="23"/>
        <v>0</v>
      </c>
    </row>
    <row r="248" spans="1:23" x14ac:dyDescent="0.2">
      <c r="A248">
        <v>50876</v>
      </c>
      <c r="B248" t="s">
        <v>438</v>
      </c>
      <c r="C248">
        <v>21102</v>
      </c>
      <c r="D248" t="s">
        <v>439</v>
      </c>
      <c r="E248" s="6">
        <v>772</v>
      </c>
      <c r="G248">
        <v>1</v>
      </c>
      <c r="H248">
        <f t="shared" si="18"/>
        <v>7.7200000000000003E-3</v>
      </c>
      <c r="J248">
        <v>0</v>
      </c>
      <c r="K248">
        <f t="shared" si="19"/>
        <v>0</v>
      </c>
      <c r="M248">
        <v>0</v>
      </c>
      <c r="N248">
        <f t="shared" si="20"/>
        <v>0</v>
      </c>
      <c r="P248">
        <v>0</v>
      </c>
      <c r="Q248">
        <f t="shared" si="21"/>
        <v>0</v>
      </c>
      <c r="S248">
        <v>0</v>
      </c>
      <c r="T248">
        <f t="shared" si="22"/>
        <v>0</v>
      </c>
      <c r="V248">
        <f>_xlfn.XLOOKUP(B248,[1]Sheet1!$B:$B,[1]Sheet1!$C:$C,0,0,1)</f>
        <v>0</v>
      </c>
      <c r="W248">
        <f t="shared" si="23"/>
        <v>0</v>
      </c>
    </row>
    <row r="249" spans="1:23" x14ac:dyDescent="0.2">
      <c r="A249">
        <v>51369</v>
      </c>
      <c r="B249" t="s">
        <v>440</v>
      </c>
      <c r="C249">
        <v>21731</v>
      </c>
      <c r="D249" t="s">
        <v>441</v>
      </c>
      <c r="E249" s="6">
        <v>125.91999816894531</v>
      </c>
      <c r="G249">
        <v>1</v>
      </c>
      <c r="H249">
        <f t="shared" si="18"/>
        <v>1.2591999816894532E-3</v>
      </c>
      <c r="J249">
        <v>1</v>
      </c>
      <c r="K249">
        <f t="shared" si="19"/>
        <v>1.2591999816894532E-3</v>
      </c>
      <c r="M249">
        <v>1</v>
      </c>
      <c r="N249">
        <f t="shared" si="20"/>
        <v>1.2591999816894532E-3</v>
      </c>
      <c r="P249">
        <v>0</v>
      </c>
      <c r="Q249">
        <f t="shared" si="21"/>
        <v>0</v>
      </c>
      <c r="S249">
        <v>1</v>
      </c>
      <c r="T249">
        <f t="shared" si="22"/>
        <v>1.2591999816894532E-3</v>
      </c>
      <c r="V249">
        <f>_xlfn.XLOOKUP(B249,[1]Sheet1!$B:$B,[1]Sheet1!$C:$C,0,0,1)</f>
        <v>0</v>
      </c>
      <c r="W249">
        <f t="shared" si="23"/>
        <v>0</v>
      </c>
    </row>
    <row r="250" spans="1:23" x14ac:dyDescent="0.2">
      <c r="A250">
        <v>52038</v>
      </c>
      <c r="B250" t="s">
        <v>442</v>
      </c>
      <c r="C250">
        <v>21698</v>
      </c>
      <c r="D250" t="s">
        <v>443</v>
      </c>
      <c r="E250" s="6">
        <v>76.459999084472656</v>
      </c>
      <c r="G250">
        <v>0</v>
      </c>
      <c r="H250">
        <f t="shared" si="18"/>
        <v>0</v>
      </c>
      <c r="J250">
        <v>3</v>
      </c>
      <c r="K250">
        <f t="shared" si="19"/>
        <v>2.2937999725341795E-3</v>
      </c>
      <c r="M250">
        <v>3</v>
      </c>
      <c r="N250">
        <f t="shared" si="20"/>
        <v>2.2937999725341795E-3</v>
      </c>
      <c r="P250">
        <v>0</v>
      </c>
      <c r="Q250">
        <f t="shared" si="21"/>
        <v>0</v>
      </c>
      <c r="S250">
        <v>3</v>
      </c>
      <c r="T250">
        <f t="shared" si="22"/>
        <v>2.2937999725341795E-3</v>
      </c>
      <c r="V250">
        <f>_xlfn.XLOOKUP(B250,[1]Sheet1!$B:$B,[1]Sheet1!$C:$C,0,0,1)</f>
        <v>0</v>
      </c>
      <c r="W250">
        <f t="shared" si="23"/>
        <v>0</v>
      </c>
    </row>
    <row r="251" spans="1:23" x14ac:dyDescent="0.2">
      <c r="A251">
        <v>52090</v>
      </c>
      <c r="B251" t="s">
        <v>444</v>
      </c>
      <c r="C251">
        <v>2801</v>
      </c>
      <c r="D251" t="s">
        <v>445</v>
      </c>
      <c r="E251" s="6">
        <v>76.239997863769531</v>
      </c>
      <c r="G251">
        <v>0</v>
      </c>
      <c r="H251">
        <f t="shared" si="18"/>
        <v>0</v>
      </c>
      <c r="J251">
        <v>12</v>
      </c>
      <c r="K251">
        <f t="shared" si="19"/>
        <v>9.1487997436523437E-3</v>
      </c>
      <c r="M251">
        <v>3</v>
      </c>
      <c r="N251">
        <f t="shared" si="20"/>
        <v>2.2871999359130859E-3</v>
      </c>
      <c r="P251">
        <v>0</v>
      </c>
      <c r="Q251">
        <f t="shared" si="21"/>
        <v>0</v>
      </c>
      <c r="S251">
        <v>10</v>
      </c>
      <c r="T251">
        <f t="shared" si="22"/>
        <v>7.6239997863769534E-3</v>
      </c>
      <c r="V251">
        <f>_xlfn.XLOOKUP(B251,[1]Sheet1!$B:$B,[1]Sheet1!$C:$C,0,0,1)</f>
        <v>0</v>
      </c>
      <c r="W251">
        <f t="shared" si="23"/>
        <v>0</v>
      </c>
    </row>
    <row r="252" spans="1:23" x14ac:dyDescent="0.2">
      <c r="A252">
        <v>52329</v>
      </c>
      <c r="B252" t="s">
        <v>446</v>
      </c>
      <c r="C252">
        <v>21011</v>
      </c>
      <c r="D252" t="s">
        <v>447</v>
      </c>
      <c r="E252" s="6">
        <v>133.6199951171875</v>
      </c>
      <c r="G252">
        <v>1</v>
      </c>
      <c r="H252">
        <f t="shared" si="18"/>
        <v>1.3361999511718749E-3</v>
      </c>
      <c r="J252">
        <v>1</v>
      </c>
      <c r="K252">
        <f t="shared" si="19"/>
        <v>1.3361999511718749E-3</v>
      </c>
      <c r="M252">
        <v>2</v>
      </c>
      <c r="N252">
        <f t="shared" si="20"/>
        <v>2.6723999023437498E-3</v>
      </c>
      <c r="P252">
        <v>0</v>
      </c>
      <c r="Q252">
        <f t="shared" si="21"/>
        <v>0</v>
      </c>
      <c r="S252">
        <v>1</v>
      </c>
      <c r="T252">
        <f t="shared" si="22"/>
        <v>1.3361999511718749E-3</v>
      </c>
      <c r="V252">
        <f>_xlfn.XLOOKUP(B252,[1]Sheet1!$B:$B,[1]Sheet1!$C:$C,0,0,1)</f>
        <v>0</v>
      </c>
      <c r="W252">
        <f t="shared" si="23"/>
        <v>0</v>
      </c>
    </row>
    <row r="253" spans="1:23" x14ac:dyDescent="0.2">
      <c r="A253">
        <v>52476</v>
      </c>
      <c r="B253" t="s">
        <v>448</v>
      </c>
      <c r="C253">
        <v>20659</v>
      </c>
      <c r="D253" t="s">
        <v>449</v>
      </c>
      <c r="E253" s="6">
        <v>254.85000610351562</v>
      </c>
      <c r="G253">
        <v>0</v>
      </c>
      <c r="H253">
        <f t="shared" si="18"/>
        <v>0</v>
      </c>
      <c r="J253">
        <v>0</v>
      </c>
      <c r="K253">
        <f t="shared" si="19"/>
        <v>0</v>
      </c>
      <c r="M253">
        <v>1</v>
      </c>
      <c r="N253">
        <f t="shared" si="20"/>
        <v>2.5485000610351561E-3</v>
      </c>
      <c r="P253">
        <v>0</v>
      </c>
      <c r="Q253">
        <f t="shared" si="21"/>
        <v>0</v>
      </c>
      <c r="S253">
        <v>1</v>
      </c>
      <c r="T253">
        <f t="shared" si="22"/>
        <v>2.5485000610351561E-3</v>
      </c>
      <c r="V253">
        <f>_xlfn.XLOOKUP(B253,[1]Sheet1!$B:$B,[1]Sheet1!$C:$C,0,0,1)</f>
        <v>0</v>
      </c>
      <c r="W253">
        <f t="shared" si="23"/>
        <v>0</v>
      </c>
    </row>
    <row r="254" spans="1:23" x14ac:dyDescent="0.2">
      <c r="A254">
        <v>52695</v>
      </c>
      <c r="B254" t="s">
        <v>450</v>
      </c>
      <c r="C254">
        <v>20841</v>
      </c>
      <c r="D254" t="s">
        <v>451</v>
      </c>
      <c r="E254" s="6">
        <v>1054.050048828125</v>
      </c>
      <c r="G254">
        <v>0</v>
      </c>
      <c r="H254">
        <f t="shared" si="18"/>
        <v>0</v>
      </c>
      <c r="J254">
        <v>0</v>
      </c>
      <c r="K254">
        <f t="shared" si="19"/>
        <v>0</v>
      </c>
      <c r="M254">
        <v>0</v>
      </c>
      <c r="N254">
        <f t="shared" si="20"/>
        <v>0</v>
      </c>
      <c r="P254">
        <v>0</v>
      </c>
      <c r="Q254">
        <f t="shared" si="21"/>
        <v>0</v>
      </c>
      <c r="S254">
        <v>0</v>
      </c>
      <c r="T254">
        <f t="shared" si="22"/>
        <v>0</v>
      </c>
      <c r="V254">
        <f>_xlfn.XLOOKUP(B254,[1]Sheet1!$B:$B,[1]Sheet1!$C:$C,0,0,1)</f>
        <v>0</v>
      </c>
      <c r="W254">
        <f t="shared" si="23"/>
        <v>0</v>
      </c>
    </row>
    <row r="255" spans="1:23" x14ac:dyDescent="0.2">
      <c r="A255">
        <v>52708</v>
      </c>
      <c r="B255" t="s">
        <v>452</v>
      </c>
      <c r="C255">
        <v>21095</v>
      </c>
      <c r="D255" t="s">
        <v>453</v>
      </c>
      <c r="E255" s="6">
        <v>136.3699951171875</v>
      </c>
      <c r="G255">
        <v>2</v>
      </c>
      <c r="H255">
        <f t="shared" si="18"/>
        <v>2.7273999023437502E-3</v>
      </c>
      <c r="J255">
        <v>0</v>
      </c>
      <c r="K255">
        <f t="shared" si="19"/>
        <v>0</v>
      </c>
      <c r="M255">
        <v>2</v>
      </c>
      <c r="N255">
        <f t="shared" si="20"/>
        <v>2.7273999023437502E-3</v>
      </c>
      <c r="P255">
        <v>0</v>
      </c>
      <c r="Q255">
        <f t="shared" si="21"/>
        <v>0</v>
      </c>
      <c r="S255">
        <v>0</v>
      </c>
      <c r="T255">
        <f t="shared" si="22"/>
        <v>0</v>
      </c>
      <c r="V255">
        <f>_xlfn.XLOOKUP(B255,[1]Sheet1!$B:$B,[1]Sheet1!$C:$C,0,0,1)</f>
        <v>0</v>
      </c>
      <c r="W255">
        <f t="shared" si="23"/>
        <v>0</v>
      </c>
    </row>
    <row r="256" spans="1:23" x14ac:dyDescent="0.2">
      <c r="A256">
        <v>52978</v>
      </c>
      <c r="B256" t="s">
        <v>454</v>
      </c>
      <c r="C256">
        <v>20887</v>
      </c>
      <c r="D256" t="s">
        <v>455</v>
      </c>
      <c r="E256" s="6">
        <v>55.909999847412109</v>
      </c>
      <c r="G256">
        <v>0</v>
      </c>
      <c r="H256">
        <f t="shared" si="18"/>
        <v>0</v>
      </c>
      <c r="J256">
        <v>6</v>
      </c>
      <c r="K256">
        <f t="shared" si="19"/>
        <v>3.3545999908447264E-3</v>
      </c>
      <c r="M256">
        <v>4</v>
      </c>
      <c r="N256">
        <f t="shared" si="20"/>
        <v>2.2363999938964842E-3</v>
      </c>
      <c r="P256">
        <v>0</v>
      </c>
      <c r="Q256">
        <f t="shared" si="21"/>
        <v>0</v>
      </c>
      <c r="S256">
        <v>2</v>
      </c>
      <c r="T256">
        <f t="shared" si="22"/>
        <v>1.1181999969482421E-3</v>
      </c>
      <c r="V256">
        <f>_xlfn.XLOOKUP(B256,[1]Sheet1!$B:$B,[1]Sheet1!$C:$C,0,0,1)</f>
        <v>0</v>
      </c>
      <c r="W256">
        <f t="shared" si="23"/>
        <v>0</v>
      </c>
    </row>
    <row r="257" spans="1:23" x14ac:dyDescent="0.2">
      <c r="A257">
        <v>53065</v>
      </c>
      <c r="B257" t="s">
        <v>456</v>
      </c>
      <c r="C257">
        <v>20997</v>
      </c>
      <c r="D257" t="s">
        <v>457</v>
      </c>
      <c r="E257" s="6">
        <v>28.020000457763672</v>
      </c>
      <c r="G257">
        <v>0</v>
      </c>
      <c r="H257">
        <f t="shared" si="18"/>
        <v>0</v>
      </c>
      <c r="J257">
        <v>15</v>
      </c>
      <c r="K257">
        <f t="shared" si="19"/>
        <v>4.2030000686645507E-3</v>
      </c>
      <c r="M257">
        <v>9</v>
      </c>
      <c r="N257">
        <f t="shared" si="20"/>
        <v>2.5218000411987304E-3</v>
      </c>
      <c r="P257">
        <v>0</v>
      </c>
      <c r="Q257">
        <f t="shared" si="21"/>
        <v>0</v>
      </c>
      <c r="S257">
        <v>13</v>
      </c>
      <c r="T257">
        <f t="shared" si="22"/>
        <v>3.6426000595092775E-3</v>
      </c>
      <c r="V257">
        <f>_xlfn.XLOOKUP(B257,[1]Sheet1!$B:$B,[1]Sheet1!$C:$C,0,0,1)</f>
        <v>1</v>
      </c>
      <c r="W257">
        <f t="shared" si="23"/>
        <v>2.802000045776367E-4</v>
      </c>
    </row>
    <row r="258" spans="1:23" x14ac:dyDescent="0.2">
      <c r="A258">
        <v>53613</v>
      </c>
      <c r="B258" t="s">
        <v>458</v>
      </c>
      <c r="C258">
        <v>7065</v>
      </c>
      <c r="D258" t="s">
        <v>459</v>
      </c>
      <c r="E258" s="6">
        <v>84.160003662109375</v>
      </c>
      <c r="G258">
        <v>3</v>
      </c>
      <c r="H258">
        <f t="shared" si="18"/>
        <v>2.5248001098632815E-3</v>
      </c>
      <c r="J258">
        <v>0</v>
      </c>
      <c r="K258">
        <f t="shared" si="19"/>
        <v>0</v>
      </c>
      <c r="M258">
        <v>2</v>
      </c>
      <c r="N258">
        <f t="shared" si="20"/>
        <v>1.6832000732421874E-3</v>
      </c>
      <c r="P258">
        <v>0</v>
      </c>
      <c r="Q258">
        <f t="shared" si="21"/>
        <v>0</v>
      </c>
      <c r="S258">
        <v>0</v>
      </c>
      <c r="T258">
        <f t="shared" si="22"/>
        <v>0</v>
      </c>
      <c r="V258">
        <f>_xlfn.XLOOKUP(B258,[1]Sheet1!$B:$B,[1]Sheet1!$C:$C,0,0,1)</f>
        <v>0</v>
      </c>
      <c r="W258">
        <f t="shared" si="23"/>
        <v>0</v>
      </c>
    </row>
    <row r="259" spans="1:23" x14ac:dyDescent="0.2">
      <c r="A259">
        <v>54148</v>
      </c>
      <c r="B259" t="s">
        <v>460</v>
      </c>
      <c r="C259">
        <v>21349</v>
      </c>
      <c r="D259" t="s">
        <v>461</v>
      </c>
      <c r="E259" s="6">
        <v>108.90000152587891</v>
      </c>
      <c r="G259">
        <v>5</v>
      </c>
      <c r="H259">
        <f t="shared" si="18"/>
        <v>5.4450000762939453E-3</v>
      </c>
      <c r="J259">
        <v>3</v>
      </c>
      <c r="K259">
        <f t="shared" si="19"/>
        <v>3.267000045776367E-3</v>
      </c>
      <c r="M259">
        <v>2</v>
      </c>
      <c r="N259">
        <f t="shared" si="20"/>
        <v>2.1780000305175783E-3</v>
      </c>
      <c r="P259">
        <v>0</v>
      </c>
      <c r="Q259">
        <f t="shared" si="21"/>
        <v>0</v>
      </c>
      <c r="S259">
        <v>0</v>
      </c>
      <c r="T259">
        <f t="shared" si="22"/>
        <v>0</v>
      </c>
      <c r="V259">
        <f>_xlfn.XLOOKUP(B259,[1]Sheet1!$B:$B,[1]Sheet1!$C:$C,0,0,1)</f>
        <v>0</v>
      </c>
      <c r="W259">
        <f t="shared" si="23"/>
        <v>0</v>
      </c>
    </row>
    <row r="260" spans="1:23" x14ac:dyDescent="0.2">
      <c r="A260">
        <v>55976</v>
      </c>
      <c r="B260" t="s">
        <v>462</v>
      </c>
      <c r="C260">
        <v>21880</v>
      </c>
      <c r="D260" t="s">
        <v>463</v>
      </c>
      <c r="E260" s="6">
        <v>90.349998474121094</v>
      </c>
      <c r="G260">
        <v>4</v>
      </c>
      <c r="H260">
        <f t="shared" si="18"/>
        <v>3.6139999389648439E-3</v>
      </c>
      <c r="J260">
        <v>14</v>
      </c>
      <c r="K260">
        <f t="shared" si="19"/>
        <v>1.2648999786376952E-2</v>
      </c>
      <c r="M260">
        <v>2</v>
      </c>
      <c r="N260">
        <f t="shared" si="20"/>
        <v>1.806999969482422E-3</v>
      </c>
      <c r="P260">
        <v>0</v>
      </c>
      <c r="Q260">
        <f t="shared" si="21"/>
        <v>0</v>
      </c>
      <c r="S260">
        <v>12</v>
      </c>
      <c r="T260">
        <f t="shared" si="22"/>
        <v>1.0841999816894531E-2</v>
      </c>
      <c r="V260">
        <f>_xlfn.XLOOKUP(B260,[1]Sheet1!$B:$B,[1]Sheet1!$C:$C,0,0,1)</f>
        <v>0</v>
      </c>
      <c r="W260">
        <f t="shared" si="23"/>
        <v>0</v>
      </c>
    </row>
    <row r="261" spans="1:23" x14ac:dyDescent="0.2">
      <c r="A261">
        <v>56274</v>
      </c>
      <c r="B261" t="s">
        <v>464</v>
      </c>
      <c r="C261">
        <v>20495</v>
      </c>
      <c r="D261" t="s">
        <v>465</v>
      </c>
      <c r="E261" s="6">
        <v>27.75</v>
      </c>
      <c r="G261">
        <v>0</v>
      </c>
      <c r="H261">
        <f t="shared" si="18"/>
        <v>0</v>
      </c>
      <c r="J261">
        <v>0</v>
      </c>
      <c r="K261">
        <f t="shared" si="19"/>
        <v>0</v>
      </c>
      <c r="M261">
        <v>9</v>
      </c>
      <c r="N261">
        <f t="shared" si="20"/>
        <v>2.4975000000000002E-3</v>
      </c>
      <c r="P261">
        <v>0</v>
      </c>
      <c r="Q261">
        <f t="shared" si="21"/>
        <v>0</v>
      </c>
      <c r="S261">
        <v>5</v>
      </c>
      <c r="T261">
        <f t="shared" si="22"/>
        <v>1.3875000000000001E-3</v>
      </c>
      <c r="V261">
        <f>_xlfn.XLOOKUP(B261,[1]Sheet1!$B:$B,[1]Sheet1!$C:$C,0,0,1)</f>
        <v>0</v>
      </c>
      <c r="W261">
        <f t="shared" si="23"/>
        <v>0</v>
      </c>
    </row>
    <row r="262" spans="1:23" x14ac:dyDescent="0.2">
      <c r="A262">
        <v>56573</v>
      </c>
      <c r="B262" t="s">
        <v>466</v>
      </c>
      <c r="C262">
        <v>20968</v>
      </c>
      <c r="D262" t="s">
        <v>467</v>
      </c>
      <c r="E262" s="6">
        <v>253.55999755859375</v>
      </c>
      <c r="G262">
        <v>0</v>
      </c>
      <c r="H262">
        <f t="shared" si="18"/>
        <v>0</v>
      </c>
      <c r="J262">
        <v>1</v>
      </c>
      <c r="K262">
        <f t="shared" si="19"/>
        <v>2.5355999755859375E-3</v>
      </c>
      <c r="M262">
        <v>1</v>
      </c>
      <c r="N262">
        <f t="shared" si="20"/>
        <v>2.5355999755859375E-3</v>
      </c>
      <c r="P262">
        <v>0</v>
      </c>
      <c r="Q262">
        <f t="shared" si="21"/>
        <v>0</v>
      </c>
      <c r="S262">
        <v>1</v>
      </c>
      <c r="T262">
        <f t="shared" si="22"/>
        <v>2.5355999755859375E-3</v>
      </c>
      <c r="V262">
        <f>_xlfn.XLOOKUP(B262,[1]Sheet1!$B:$B,[1]Sheet1!$C:$C,0,0,1)</f>
        <v>0</v>
      </c>
      <c r="W262">
        <f t="shared" si="23"/>
        <v>0</v>
      </c>
    </row>
    <row r="263" spans="1:23" x14ac:dyDescent="0.2">
      <c r="A263">
        <v>57568</v>
      </c>
      <c r="B263" t="s">
        <v>468</v>
      </c>
      <c r="C263">
        <v>20257</v>
      </c>
      <c r="D263" t="s">
        <v>469</v>
      </c>
      <c r="E263" s="6">
        <v>55.130001068115234</v>
      </c>
      <c r="G263">
        <v>1</v>
      </c>
      <c r="H263">
        <f t="shared" si="18"/>
        <v>5.5130001068115237E-4</v>
      </c>
      <c r="J263">
        <v>0</v>
      </c>
      <c r="K263">
        <f t="shared" si="19"/>
        <v>0</v>
      </c>
      <c r="M263">
        <v>3</v>
      </c>
      <c r="N263">
        <f t="shared" si="20"/>
        <v>1.6539000320434571E-3</v>
      </c>
      <c r="P263">
        <v>0</v>
      </c>
      <c r="Q263">
        <f t="shared" si="21"/>
        <v>0</v>
      </c>
      <c r="S263">
        <v>0</v>
      </c>
      <c r="T263">
        <f t="shared" si="22"/>
        <v>0</v>
      </c>
      <c r="V263">
        <f>_xlfn.XLOOKUP(B263,[1]Sheet1!$B:$B,[1]Sheet1!$C:$C,0,0,1)</f>
        <v>0</v>
      </c>
      <c r="W263">
        <f t="shared" si="23"/>
        <v>0</v>
      </c>
    </row>
    <row r="264" spans="1:23" x14ac:dyDescent="0.2">
      <c r="A264">
        <v>57665</v>
      </c>
      <c r="B264" t="s">
        <v>470</v>
      </c>
      <c r="C264">
        <v>3194</v>
      </c>
      <c r="D264" t="s">
        <v>471</v>
      </c>
      <c r="E264" s="6">
        <v>75.669998168945312</v>
      </c>
      <c r="G264">
        <v>0</v>
      </c>
      <c r="H264">
        <f t="shared" si="18"/>
        <v>0</v>
      </c>
      <c r="J264">
        <v>0</v>
      </c>
      <c r="K264">
        <f t="shared" si="19"/>
        <v>0</v>
      </c>
      <c r="M264">
        <v>2</v>
      </c>
      <c r="N264">
        <f t="shared" si="20"/>
        <v>1.5133999633789063E-3</v>
      </c>
      <c r="P264">
        <v>0</v>
      </c>
      <c r="Q264">
        <f t="shared" si="21"/>
        <v>0</v>
      </c>
      <c r="S264">
        <v>0</v>
      </c>
      <c r="T264">
        <f t="shared" si="22"/>
        <v>0</v>
      </c>
      <c r="V264">
        <f>_xlfn.XLOOKUP(B264,[1]Sheet1!$B:$B,[1]Sheet1!$C:$C,0,0,1)</f>
        <v>0</v>
      </c>
      <c r="W264">
        <f t="shared" si="23"/>
        <v>0</v>
      </c>
    </row>
    <row r="265" spans="1:23" x14ac:dyDescent="0.2">
      <c r="A265">
        <v>57809</v>
      </c>
      <c r="B265" t="s">
        <v>472</v>
      </c>
      <c r="C265">
        <v>3160</v>
      </c>
      <c r="D265" t="s">
        <v>473</v>
      </c>
      <c r="E265" s="6">
        <v>209.24000549316406</v>
      </c>
      <c r="G265">
        <v>0</v>
      </c>
      <c r="H265">
        <f t="shared" si="18"/>
        <v>0</v>
      </c>
      <c r="J265">
        <v>0</v>
      </c>
      <c r="K265">
        <f t="shared" si="19"/>
        <v>0</v>
      </c>
      <c r="M265">
        <v>1</v>
      </c>
      <c r="N265">
        <f t="shared" si="20"/>
        <v>2.0924000549316407E-3</v>
      </c>
      <c r="P265">
        <v>0</v>
      </c>
      <c r="Q265">
        <f t="shared" si="21"/>
        <v>0</v>
      </c>
      <c r="S265">
        <v>1</v>
      </c>
      <c r="T265">
        <f t="shared" si="22"/>
        <v>2.0924000549316407E-3</v>
      </c>
      <c r="V265">
        <f>_xlfn.XLOOKUP(B265,[1]Sheet1!$B:$B,[1]Sheet1!$C:$C,0,0,1)</f>
        <v>0</v>
      </c>
      <c r="W265">
        <f t="shared" si="23"/>
        <v>0</v>
      </c>
    </row>
    <row r="266" spans="1:23" x14ac:dyDescent="0.2">
      <c r="A266">
        <v>57904</v>
      </c>
      <c r="B266" t="s">
        <v>474</v>
      </c>
      <c r="C266">
        <v>92</v>
      </c>
      <c r="D266" t="s">
        <v>475</v>
      </c>
      <c r="E266" s="6">
        <v>103.44000244140625</v>
      </c>
      <c r="G266">
        <v>2</v>
      </c>
      <c r="H266">
        <f t="shared" si="18"/>
        <v>2.0688000488281251E-3</v>
      </c>
      <c r="J266">
        <v>7</v>
      </c>
      <c r="K266">
        <f t="shared" si="19"/>
        <v>7.2408001708984373E-3</v>
      </c>
      <c r="M266">
        <v>3</v>
      </c>
      <c r="N266">
        <f t="shared" si="20"/>
        <v>3.1032000732421875E-3</v>
      </c>
      <c r="P266">
        <v>0</v>
      </c>
      <c r="Q266">
        <f t="shared" si="21"/>
        <v>0</v>
      </c>
      <c r="S266">
        <v>11</v>
      </c>
      <c r="T266">
        <f t="shared" si="22"/>
        <v>1.1378400268554687E-2</v>
      </c>
      <c r="V266">
        <f>_xlfn.XLOOKUP(B266,[1]Sheet1!$B:$B,[1]Sheet1!$C:$C,0,0,1)</f>
        <v>0</v>
      </c>
      <c r="W266">
        <f t="shared" si="23"/>
        <v>0</v>
      </c>
    </row>
    <row r="267" spans="1:23" x14ac:dyDescent="0.2">
      <c r="A267">
        <v>58246</v>
      </c>
      <c r="B267" t="s">
        <v>476</v>
      </c>
      <c r="C267">
        <v>3275</v>
      </c>
      <c r="D267" t="s">
        <v>477</v>
      </c>
      <c r="E267" s="6">
        <v>102.5</v>
      </c>
      <c r="G267">
        <v>1</v>
      </c>
      <c r="H267">
        <f t="shared" si="18"/>
        <v>1.0250000000000001E-3</v>
      </c>
      <c r="J267">
        <v>0</v>
      </c>
      <c r="K267">
        <f t="shared" si="19"/>
        <v>0</v>
      </c>
      <c r="M267">
        <v>3</v>
      </c>
      <c r="N267">
        <f t="shared" si="20"/>
        <v>3.075E-3</v>
      </c>
      <c r="P267">
        <v>9</v>
      </c>
      <c r="Q267">
        <f t="shared" si="21"/>
        <v>9.2250000000000006E-3</v>
      </c>
      <c r="S267">
        <v>0</v>
      </c>
      <c r="T267">
        <f t="shared" si="22"/>
        <v>0</v>
      </c>
      <c r="V267">
        <f>_xlfn.XLOOKUP(B267,[1]Sheet1!$B:$B,[1]Sheet1!$C:$C,0,0,1)</f>
        <v>0</v>
      </c>
      <c r="W267">
        <f t="shared" si="23"/>
        <v>0</v>
      </c>
    </row>
    <row r="268" spans="1:23" x14ac:dyDescent="0.2">
      <c r="A268">
        <v>58413</v>
      </c>
      <c r="B268" t="s">
        <v>478</v>
      </c>
      <c r="C268">
        <v>20697</v>
      </c>
      <c r="D268" t="s">
        <v>479</v>
      </c>
      <c r="E268" s="6">
        <v>111.94999694824219</v>
      </c>
      <c r="G268">
        <v>0</v>
      </c>
      <c r="H268">
        <f t="shared" si="18"/>
        <v>0</v>
      </c>
      <c r="J268">
        <v>0</v>
      </c>
      <c r="K268">
        <f t="shared" si="19"/>
        <v>0</v>
      </c>
      <c r="M268">
        <v>2</v>
      </c>
      <c r="N268">
        <f t="shared" si="20"/>
        <v>2.2389999389648436E-3</v>
      </c>
      <c r="P268">
        <v>0</v>
      </c>
      <c r="Q268">
        <f t="shared" si="21"/>
        <v>0</v>
      </c>
      <c r="S268">
        <v>0</v>
      </c>
      <c r="T268">
        <f t="shared" si="22"/>
        <v>0</v>
      </c>
      <c r="V268">
        <f>_xlfn.XLOOKUP(B268,[1]Sheet1!$B:$B,[1]Sheet1!$C:$C,0,0,1)</f>
        <v>0</v>
      </c>
      <c r="W268">
        <f t="shared" si="23"/>
        <v>0</v>
      </c>
    </row>
    <row r="269" spans="1:23" x14ac:dyDescent="0.2">
      <c r="A269">
        <v>58683</v>
      </c>
      <c r="B269" t="s">
        <v>480</v>
      </c>
      <c r="C269">
        <v>4181</v>
      </c>
      <c r="D269" t="s">
        <v>481</v>
      </c>
      <c r="E269" s="6">
        <v>33.619998931884766</v>
      </c>
      <c r="G269">
        <v>0</v>
      </c>
      <c r="H269">
        <f t="shared" si="18"/>
        <v>0</v>
      </c>
      <c r="J269">
        <v>0</v>
      </c>
      <c r="K269">
        <f t="shared" si="19"/>
        <v>0</v>
      </c>
      <c r="M269">
        <v>7</v>
      </c>
      <c r="N269">
        <f t="shared" si="20"/>
        <v>2.3533999252319335E-3</v>
      </c>
      <c r="P269">
        <v>21</v>
      </c>
      <c r="Q269">
        <f t="shared" si="21"/>
        <v>7.0601997756958006E-3</v>
      </c>
      <c r="S269">
        <v>0</v>
      </c>
      <c r="T269">
        <f t="shared" si="22"/>
        <v>0</v>
      </c>
      <c r="V269">
        <f>_xlfn.XLOOKUP(B269,[1]Sheet1!$B:$B,[1]Sheet1!$C:$C,0,0,1)</f>
        <v>0</v>
      </c>
      <c r="W269">
        <f t="shared" si="23"/>
        <v>0</v>
      </c>
    </row>
    <row r="270" spans="1:23" x14ac:dyDescent="0.2">
      <c r="A270">
        <v>58819</v>
      </c>
      <c r="B270" t="s">
        <v>482</v>
      </c>
      <c r="C270">
        <v>4980</v>
      </c>
      <c r="D270" t="s">
        <v>483</v>
      </c>
      <c r="E270" s="6">
        <v>59.139999389648438</v>
      </c>
      <c r="G270">
        <v>0</v>
      </c>
      <c r="H270">
        <f t="shared" si="18"/>
        <v>0</v>
      </c>
      <c r="J270">
        <v>7</v>
      </c>
      <c r="K270">
        <f t="shared" si="19"/>
        <v>4.1397999572753905E-3</v>
      </c>
      <c r="M270">
        <v>4</v>
      </c>
      <c r="N270">
        <f t="shared" si="20"/>
        <v>2.3655999755859375E-3</v>
      </c>
      <c r="P270">
        <v>0</v>
      </c>
      <c r="Q270">
        <f t="shared" si="21"/>
        <v>0</v>
      </c>
      <c r="S270">
        <v>0</v>
      </c>
      <c r="T270">
        <f t="shared" si="22"/>
        <v>0</v>
      </c>
      <c r="V270">
        <f>_xlfn.XLOOKUP(B270,[1]Sheet1!$B:$B,[1]Sheet1!$C:$C,0,0,1)</f>
        <v>0</v>
      </c>
      <c r="W270">
        <f t="shared" si="23"/>
        <v>0</v>
      </c>
    </row>
    <row r="271" spans="1:23" x14ac:dyDescent="0.2">
      <c r="A271">
        <v>59176</v>
      </c>
      <c r="B271" t="s">
        <v>484</v>
      </c>
      <c r="C271">
        <v>90</v>
      </c>
      <c r="D271" t="s">
        <v>485</v>
      </c>
      <c r="E271" s="6">
        <v>296.79000854492188</v>
      </c>
      <c r="G271">
        <v>1</v>
      </c>
      <c r="H271">
        <f t="shared" si="18"/>
        <v>2.9679000854492188E-3</v>
      </c>
      <c r="J271">
        <v>5</v>
      </c>
      <c r="K271">
        <f t="shared" si="19"/>
        <v>1.4839500427246093E-2</v>
      </c>
      <c r="M271">
        <v>1</v>
      </c>
      <c r="N271">
        <f t="shared" si="20"/>
        <v>2.9679000854492188E-3</v>
      </c>
      <c r="P271">
        <v>4</v>
      </c>
      <c r="Q271">
        <f t="shared" si="21"/>
        <v>1.1871600341796875E-2</v>
      </c>
      <c r="S271">
        <v>6</v>
      </c>
      <c r="T271">
        <f t="shared" si="22"/>
        <v>1.7807400512695311E-2</v>
      </c>
      <c r="V271">
        <f>_xlfn.XLOOKUP(B271,[1]Sheet1!$B:$B,[1]Sheet1!$C:$C,0,0,1)</f>
        <v>0</v>
      </c>
      <c r="W271">
        <f t="shared" si="23"/>
        <v>0</v>
      </c>
    </row>
    <row r="272" spans="1:23" x14ac:dyDescent="0.2">
      <c r="A272">
        <v>59248</v>
      </c>
      <c r="B272" t="s">
        <v>486</v>
      </c>
      <c r="C272">
        <v>33</v>
      </c>
      <c r="D272" t="s">
        <v>487</v>
      </c>
      <c r="E272" s="6">
        <v>57.319999694824219</v>
      </c>
      <c r="G272">
        <v>1</v>
      </c>
      <c r="H272">
        <f t="shared" ref="H272:H335" si="24">G272*E272/$C$5</f>
        <v>5.7319999694824221E-4</v>
      </c>
      <c r="J272">
        <v>0</v>
      </c>
      <c r="K272">
        <f t="shared" ref="K272:K335" si="25">J272*E272/$C$5</f>
        <v>0</v>
      </c>
      <c r="M272">
        <v>5</v>
      </c>
      <c r="N272">
        <f t="shared" ref="N272:N335" si="26">M272*E272/$C$5</f>
        <v>2.865999984741211E-3</v>
      </c>
      <c r="P272">
        <v>0</v>
      </c>
      <c r="Q272">
        <f t="shared" ref="Q272:Q335" si="27">P272*E272/$C$5</f>
        <v>0</v>
      </c>
      <c r="S272">
        <v>0</v>
      </c>
      <c r="T272">
        <f t="shared" ref="T272:T335" si="28">S272*E272/$C$5</f>
        <v>0</v>
      </c>
      <c r="V272">
        <f>_xlfn.XLOOKUP(B272,[1]Sheet1!$B:$B,[1]Sheet1!$C:$C,0,0,1)</f>
        <v>0</v>
      </c>
      <c r="W272">
        <f t="shared" ref="W272:W335" si="29">V272*E272/$C$5</f>
        <v>0</v>
      </c>
    </row>
    <row r="273" spans="1:23" x14ac:dyDescent="0.2">
      <c r="A273">
        <v>59300</v>
      </c>
      <c r="B273" t="s">
        <v>488</v>
      </c>
      <c r="C273">
        <v>3334</v>
      </c>
      <c r="D273" t="s">
        <v>489</v>
      </c>
      <c r="E273" s="6">
        <v>43.409999847412109</v>
      </c>
      <c r="G273">
        <v>1</v>
      </c>
      <c r="H273">
        <f t="shared" si="24"/>
        <v>4.3409999847412111E-4</v>
      </c>
      <c r="J273">
        <v>0</v>
      </c>
      <c r="K273">
        <f t="shared" si="25"/>
        <v>0</v>
      </c>
      <c r="M273">
        <v>3</v>
      </c>
      <c r="N273">
        <f t="shared" si="26"/>
        <v>1.3022999954223633E-3</v>
      </c>
      <c r="P273">
        <v>0</v>
      </c>
      <c r="Q273">
        <f t="shared" si="27"/>
        <v>0</v>
      </c>
      <c r="S273">
        <v>2</v>
      </c>
      <c r="T273">
        <f t="shared" si="28"/>
        <v>8.6819999694824222E-4</v>
      </c>
      <c r="V273">
        <f>_xlfn.XLOOKUP(B273,[1]Sheet1!$B:$B,[1]Sheet1!$C:$C,0,0,1)</f>
        <v>0</v>
      </c>
      <c r="W273">
        <f t="shared" si="29"/>
        <v>0</v>
      </c>
    </row>
    <row r="274" spans="1:23" x14ac:dyDescent="0.2">
      <c r="A274">
        <v>59328</v>
      </c>
      <c r="B274" t="s">
        <v>490</v>
      </c>
      <c r="C274">
        <v>2367</v>
      </c>
      <c r="D274" t="s">
        <v>491</v>
      </c>
      <c r="E274" s="6">
        <v>20.049999237060547</v>
      </c>
      <c r="G274">
        <v>0</v>
      </c>
      <c r="H274">
        <f t="shared" si="24"/>
        <v>0</v>
      </c>
      <c r="J274">
        <v>19</v>
      </c>
      <c r="K274">
        <f t="shared" si="25"/>
        <v>3.8094998550415038E-3</v>
      </c>
      <c r="M274">
        <v>10</v>
      </c>
      <c r="N274">
        <f t="shared" si="26"/>
        <v>2.0049999237060547E-3</v>
      </c>
      <c r="P274">
        <v>0</v>
      </c>
      <c r="Q274">
        <f t="shared" si="27"/>
        <v>0</v>
      </c>
      <c r="S274">
        <v>7</v>
      </c>
      <c r="T274">
        <f t="shared" si="28"/>
        <v>1.4034999465942382E-3</v>
      </c>
      <c r="V274">
        <f>_xlfn.XLOOKUP(B274,[1]Sheet1!$B:$B,[1]Sheet1!$C:$C,0,0,1)</f>
        <v>1</v>
      </c>
      <c r="W274">
        <f t="shared" si="29"/>
        <v>2.0049999237060546E-4</v>
      </c>
    </row>
    <row r="275" spans="1:23" x14ac:dyDescent="0.2">
      <c r="A275">
        <v>59408</v>
      </c>
      <c r="B275" t="s">
        <v>492</v>
      </c>
      <c r="C275">
        <v>3151</v>
      </c>
      <c r="D275" t="s">
        <v>493</v>
      </c>
      <c r="E275" s="6">
        <v>43.950000762939453</v>
      </c>
      <c r="G275">
        <v>3</v>
      </c>
      <c r="H275">
        <f t="shared" si="24"/>
        <v>1.3185000228881835E-3</v>
      </c>
      <c r="J275">
        <v>5</v>
      </c>
      <c r="K275">
        <f t="shared" si="25"/>
        <v>2.1975000381469728E-3</v>
      </c>
      <c r="M275">
        <v>7</v>
      </c>
      <c r="N275">
        <f t="shared" si="26"/>
        <v>3.0765000534057618E-3</v>
      </c>
      <c r="P275">
        <v>22</v>
      </c>
      <c r="Q275">
        <f t="shared" si="27"/>
        <v>9.6690001678466798E-3</v>
      </c>
      <c r="S275">
        <v>13</v>
      </c>
      <c r="T275">
        <f t="shared" si="28"/>
        <v>5.7135000991821285E-3</v>
      </c>
      <c r="V275">
        <f>_xlfn.XLOOKUP(B275,[1]Sheet1!$B:$B,[1]Sheet1!$C:$C,0,0,1)</f>
        <v>0</v>
      </c>
      <c r="W275">
        <f t="shared" si="29"/>
        <v>0</v>
      </c>
    </row>
    <row r="276" spans="1:23" x14ac:dyDescent="0.2">
      <c r="A276">
        <v>59459</v>
      </c>
      <c r="B276" t="s">
        <v>494</v>
      </c>
      <c r="C276">
        <v>4293</v>
      </c>
      <c r="D276" t="s">
        <v>495</v>
      </c>
      <c r="E276" s="6">
        <v>240.88999938964844</v>
      </c>
      <c r="G276">
        <v>0</v>
      </c>
      <c r="H276">
        <f t="shared" si="24"/>
        <v>0</v>
      </c>
      <c r="J276">
        <v>0</v>
      </c>
      <c r="K276">
        <f t="shared" si="25"/>
        <v>0</v>
      </c>
      <c r="M276">
        <v>1</v>
      </c>
      <c r="N276">
        <f t="shared" si="26"/>
        <v>2.4088999938964846E-3</v>
      </c>
      <c r="P276">
        <v>0</v>
      </c>
      <c r="Q276">
        <f t="shared" si="27"/>
        <v>0</v>
      </c>
      <c r="S276">
        <v>0</v>
      </c>
      <c r="T276">
        <f t="shared" si="28"/>
        <v>0</v>
      </c>
      <c r="V276">
        <f>_xlfn.XLOOKUP(B276,[1]Sheet1!$B:$B,[1]Sheet1!$C:$C,0,0,1)</f>
        <v>0</v>
      </c>
      <c r="W276">
        <f t="shared" si="29"/>
        <v>0</v>
      </c>
    </row>
    <row r="277" spans="1:23" x14ac:dyDescent="0.2">
      <c r="A277">
        <v>60097</v>
      </c>
      <c r="B277" t="s">
        <v>496</v>
      </c>
      <c r="C277">
        <v>2850</v>
      </c>
      <c r="D277" t="s">
        <v>497</v>
      </c>
      <c r="E277" s="6">
        <v>79.879997253417969</v>
      </c>
      <c r="G277">
        <v>0</v>
      </c>
      <c r="H277">
        <f t="shared" si="24"/>
        <v>0</v>
      </c>
      <c r="J277">
        <v>0</v>
      </c>
      <c r="K277">
        <f t="shared" si="25"/>
        <v>0</v>
      </c>
      <c r="M277">
        <v>3</v>
      </c>
      <c r="N277">
        <f t="shared" si="26"/>
        <v>2.3963999176025391E-3</v>
      </c>
      <c r="P277">
        <v>0</v>
      </c>
      <c r="Q277">
        <f t="shared" si="27"/>
        <v>0</v>
      </c>
      <c r="S277">
        <v>0</v>
      </c>
      <c r="T277">
        <f t="shared" si="28"/>
        <v>0</v>
      </c>
      <c r="V277">
        <f>_xlfn.XLOOKUP(B277,[1]Sheet1!$B:$B,[1]Sheet1!$C:$C,0,0,1)</f>
        <v>0</v>
      </c>
      <c r="W277">
        <f t="shared" si="29"/>
        <v>0</v>
      </c>
    </row>
    <row r="278" spans="1:23" x14ac:dyDescent="0.2">
      <c r="A278">
        <v>60206</v>
      </c>
      <c r="B278" t="s">
        <v>498</v>
      </c>
      <c r="C278">
        <v>4162</v>
      </c>
      <c r="D278" t="s">
        <v>499</v>
      </c>
      <c r="E278" s="6">
        <v>339.48001098632812</v>
      </c>
      <c r="G278">
        <v>1</v>
      </c>
      <c r="H278">
        <f t="shared" si="24"/>
        <v>3.3948001098632811E-3</v>
      </c>
      <c r="J278">
        <v>1</v>
      </c>
      <c r="K278">
        <f t="shared" si="25"/>
        <v>3.3948001098632811E-3</v>
      </c>
      <c r="M278">
        <v>1</v>
      </c>
      <c r="N278">
        <f t="shared" si="26"/>
        <v>3.3948001098632811E-3</v>
      </c>
      <c r="P278">
        <v>2</v>
      </c>
      <c r="Q278">
        <f t="shared" si="27"/>
        <v>6.7896002197265623E-3</v>
      </c>
      <c r="S278">
        <v>1</v>
      </c>
      <c r="T278">
        <f t="shared" si="28"/>
        <v>3.3948001098632811E-3</v>
      </c>
      <c r="V278">
        <f>_xlfn.XLOOKUP(B278,[1]Sheet1!$B:$B,[1]Sheet1!$C:$C,0,0,1)</f>
        <v>0</v>
      </c>
      <c r="W278">
        <f t="shared" si="29"/>
        <v>0</v>
      </c>
    </row>
    <row r="279" spans="1:23" x14ac:dyDescent="0.2">
      <c r="A279">
        <v>60442</v>
      </c>
      <c r="B279" t="s">
        <v>500</v>
      </c>
      <c r="C279">
        <v>3685</v>
      </c>
      <c r="D279" t="s">
        <v>501</v>
      </c>
      <c r="E279" s="6">
        <v>192.85000610351562</v>
      </c>
      <c r="G279">
        <v>0</v>
      </c>
      <c r="H279">
        <f t="shared" si="24"/>
        <v>0</v>
      </c>
      <c r="J279">
        <v>1</v>
      </c>
      <c r="K279">
        <f t="shared" si="25"/>
        <v>1.9285000610351562E-3</v>
      </c>
      <c r="M279">
        <v>1</v>
      </c>
      <c r="N279">
        <f t="shared" si="26"/>
        <v>1.9285000610351562E-3</v>
      </c>
      <c r="P279">
        <v>0</v>
      </c>
      <c r="Q279">
        <f t="shared" si="27"/>
        <v>0</v>
      </c>
      <c r="S279">
        <v>0</v>
      </c>
      <c r="T279">
        <f t="shared" si="28"/>
        <v>0</v>
      </c>
      <c r="V279">
        <f>_xlfn.XLOOKUP(B279,[1]Sheet1!$B:$B,[1]Sheet1!$C:$C,0,0,1)</f>
        <v>0</v>
      </c>
      <c r="W279">
        <f t="shared" si="29"/>
        <v>0</v>
      </c>
    </row>
    <row r="280" spans="1:23" x14ac:dyDescent="0.2">
      <c r="A280">
        <v>60506</v>
      </c>
      <c r="B280" t="s">
        <v>502</v>
      </c>
      <c r="C280">
        <v>3487</v>
      </c>
      <c r="D280" t="s">
        <v>503</v>
      </c>
      <c r="E280" s="6">
        <v>104.01999664306641</v>
      </c>
      <c r="G280">
        <v>3</v>
      </c>
      <c r="H280">
        <f t="shared" si="24"/>
        <v>3.1205998992919924E-3</v>
      </c>
      <c r="J280">
        <v>5</v>
      </c>
      <c r="K280">
        <f t="shared" si="25"/>
        <v>5.2009998321533206E-3</v>
      </c>
      <c r="M280">
        <v>2</v>
      </c>
      <c r="N280">
        <f t="shared" si="26"/>
        <v>2.0803999328613283E-3</v>
      </c>
      <c r="P280">
        <v>0</v>
      </c>
      <c r="Q280">
        <f t="shared" si="27"/>
        <v>0</v>
      </c>
      <c r="S280">
        <v>2</v>
      </c>
      <c r="T280">
        <f t="shared" si="28"/>
        <v>2.0803999328613283E-3</v>
      </c>
      <c r="V280">
        <f>_xlfn.XLOOKUP(B280,[1]Sheet1!$B:$B,[1]Sheet1!$C:$C,0,0,1)</f>
        <v>0</v>
      </c>
      <c r="W280">
        <f t="shared" si="29"/>
        <v>0</v>
      </c>
    </row>
    <row r="281" spans="1:23" x14ac:dyDescent="0.2">
      <c r="A281">
        <v>60628</v>
      </c>
      <c r="B281" t="s">
        <v>504</v>
      </c>
      <c r="C281">
        <v>1685</v>
      </c>
      <c r="D281" t="s">
        <v>505</v>
      </c>
      <c r="E281" s="6">
        <v>281.32998657226562</v>
      </c>
      <c r="G281">
        <v>1</v>
      </c>
      <c r="H281">
        <f t="shared" si="24"/>
        <v>2.8132998657226563E-3</v>
      </c>
      <c r="J281">
        <v>1</v>
      </c>
      <c r="K281">
        <f t="shared" si="25"/>
        <v>2.8132998657226563E-3</v>
      </c>
      <c r="M281">
        <v>1</v>
      </c>
      <c r="N281">
        <f t="shared" si="26"/>
        <v>2.8132998657226563E-3</v>
      </c>
      <c r="P281">
        <v>0</v>
      </c>
      <c r="Q281">
        <f t="shared" si="27"/>
        <v>0</v>
      </c>
      <c r="S281">
        <v>0</v>
      </c>
      <c r="T281">
        <f t="shared" si="28"/>
        <v>0</v>
      </c>
      <c r="V281">
        <f>_xlfn.XLOOKUP(B281,[1]Sheet1!$B:$B,[1]Sheet1!$C:$C,0,0,1)</f>
        <v>0</v>
      </c>
      <c r="W281">
        <f t="shared" si="29"/>
        <v>0</v>
      </c>
    </row>
    <row r="282" spans="1:23" x14ac:dyDescent="0.2">
      <c r="A282">
        <v>60871</v>
      </c>
      <c r="B282" t="s">
        <v>506</v>
      </c>
      <c r="C282">
        <v>282</v>
      </c>
      <c r="D282" t="s">
        <v>507</v>
      </c>
      <c r="E282" s="6">
        <v>212.46000671386719</v>
      </c>
      <c r="G282">
        <v>1</v>
      </c>
      <c r="H282">
        <f t="shared" si="24"/>
        <v>2.1246000671386717E-3</v>
      </c>
      <c r="J282">
        <v>0</v>
      </c>
      <c r="K282">
        <f t="shared" si="25"/>
        <v>0</v>
      </c>
      <c r="M282">
        <v>1</v>
      </c>
      <c r="N282">
        <f t="shared" si="26"/>
        <v>2.1246000671386717E-3</v>
      </c>
      <c r="P282">
        <v>0</v>
      </c>
      <c r="Q282">
        <f t="shared" si="27"/>
        <v>0</v>
      </c>
      <c r="S282">
        <v>0</v>
      </c>
      <c r="T282">
        <f t="shared" si="28"/>
        <v>0</v>
      </c>
      <c r="V282">
        <f>_xlfn.XLOOKUP(B282,[1]Sheet1!$B:$B,[1]Sheet1!$C:$C,0,0,1)</f>
        <v>0</v>
      </c>
      <c r="W282">
        <f t="shared" si="29"/>
        <v>0</v>
      </c>
    </row>
    <row r="283" spans="1:23" x14ac:dyDescent="0.2">
      <c r="A283">
        <v>61146</v>
      </c>
      <c r="B283" t="s">
        <v>508</v>
      </c>
      <c r="C283">
        <v>5708</v>
      </c>
      <c r="D283" t="s">
        <v>509</v>
      </c>
      <c r="E283" s="6">
        <v>72.669998168945312</v>
      </c>
      <c r="G283">
        <v>10</v>
      </c>
      <c r="H283">
        <f t="shared" si="24"/>
        <v>7.2669998168945309E-3</v>
      </c>
      <c r="J283">
        <v>3</v>
      </c>
      <c r="K283">
        <f t="shared" si="25"/>
        <v>2.1800999450683595E-3</v>
      </c>
      <c r="M283">
        <v>0</v>
      </c>
      <c r="N283">
        <f t="shared" si="26"/>
        <v>0</v>
      </c>
      <c r="P283">
        <v>6</v>
      </c>
      <c r="Q283">
        <f t="shared" si="27"/>
        <v>4.360199890136719E-3</v>
      </c>
      <c r="S283">
        <v>4</v>
      </c>
      <c r="T283">
        <f t="shared" si="28"/>
        <v>2.9067999267578127E-3</v>
      </c>
      <c r="V283">
        <f>_xlfn.XLOOKUP(B283,[1]Sheet1!$B:$B,[1]Sheet1!$C:$C,0,0,1)</f>
        <v>0</v>
      </c>
      <c r="W283">
        <f t="shared" si="29"/>
        <v>0</v>
      </c>
    </row>
    <row r="284" spans="1:23" x14ac:dyDescent="0.2">
      <c r="A284">
        <v>61241</v>
      </c>
      <c r="B284" t="s">
        <v>510</v>
      </c>
      <c r="C284">
        <v>211</v>
      </c>
      <c r="D284" t="s">
        <v>511</v>
      </c>
      <c r="E284" s="6">
        <v>120.79000091552734</v>
      </c>
      <c r="G284">
        <v>3</v>
      </c>
      <c r="H284">
        <f t="shared" si="24"/>
        <v>3.6237000274658205E-3</v>
      </c>
      <c r="J284">
        <v>0</v>
      </c>
      <c r="K284">
        <f t="shared" si="25"/>
        <v>0</v>
      </c>
      <c r="M284">
        <v>1</v>
      </c>
      <c r="N284">
        <f t="shared" si="26"/>
        <v>1.2079000091552734E-3</v>
      </c>
      <c r="P284">
        <v>0</v>
      </c>
      <c r="Q284">
        <f t="shared" si="27"/>
        <v>0</v>
      </c>
      <c r="S284">
        <v>0</v>
      </c>
      <c r="T284">
        <f t="shared" si="28"/>
        <v>0</v>
      </c>
      <c r="V284">
        <f>_xlfn.XLOOKUP(B284,[1]Sheet1!$B:$B,[1]Sheet1!$C:$C,0,0,1)</f>
        <v>0</v>
      </c>
      <c r="W284">
        <f t="shared" si="29"/>
        <v>0</v>
      </c>
    </row>
    <row r="285" spans="1:23" x14ac:dyDescent="0.2">
      <c r="A285">
        <v>61399</v>
      </c>
      <c r="B285" t="s">
        <v>512</v>
      </c>
      <c r="C285">
        <v>2709</v>
      </c>
      <c r="D285" t="s">
        <v>513</v>
      </c>
      <c r="E285" s="6">
        <v>246.80000305175781</v>
      </c>
      <c r="G285">
        <v>0</v>
      </c>
      <c r="H285">
        <f t="shared" si="24"/>
        <v>0</v>
      </c>
      <c r="J285">
        <v>0</v>
      </c>
      <c r="K285">
        <f t="shared" si="25"/>
        <v>0</v>
      </c>
      <c r="M285">
        <v>1</v>
      </c>
      <c r="N285">
        <f t="shared" si="26"/>
        <v>2.4680000305175782E-3</v>
      </c>
      <c r="P285">
        <v>0</v>
      </c>
      <c r="Q285">
        <f t="shared" si="27"/>
        <v>0</v>
      </c>
      <c r="S285">
        <v>0</v>
      </c>
      <c r="T285">
        <f t="shared" si="28"/>
        <v>0</v>
      </c>
      <c r="V285">
        <f>_xlfn.XLOOKUP(B285,[1]Sheet1!$B:$B,[1]Sheet1!$C:$C,0,0,1)</f>
        <v>0</v>
      </c>
      <c r="W285">
        <f t="shared" si="29"/>
        <v>0</v>
      </c>
    </row>
    <row r="286" spans="1:23" x14ac:dyDescent="0.2">
      <c r="A286">
        <v>61621</v>
      </c>
      <c r="B286" t="s">
        <v>514</v>
      </c>
      <c r="C286">
        <v>6333</v>
      </c>
      <c r="D286" t="s">
        <v>515</v>
      </c>
      <c r="E286" s="6">
        <v>140.22000122070312</v>
      </c>
      <c r="G286">
        <v>1</v>
      </c>
      <c r="H286">
        <f t="shared" si="24"/>
        <v>1.4022000122070313E-3</v>
      </c>
      <c r="J286">
        <v>0</v>
      </c>
      <c r="K286">
        <f t="shared" si="25"/>
        <v>0</v>
      </c>
      <c r="M286">
        <v>1</v>
      </c>
      <c r="N286">
        <f t="shared" si="26"/>
        <v>1.4022000122070313E-3</v>
      </c>
      <c r="P286">
        <v>12</v>
      </c>
      <c r="Q286">
        <f t="shared" si="27"/>
        <v>1.6826400146484375E-2</v>
      </c>
      <c r="S286">
        <v>1</v>
      </c>
      <c r="T286">
        <f t="shared" si="28"/>
        <v>1.4022000122070313E-3</v>
      </c>
      <c r="V286">
        <f>_xlfn.XLOOKUP(B286,[1]Sheet1!$B:$B,[1]Sheet1!$C:$C,0,0,1)</f>
        <v>0</v>
      </c>
      <c r="W286">
        <f t="shared" si="29"/>
        <v>0</v>
      </c>
    </row>
    <row r="287" spans="1:23" x14ac:dyDescent="0.2">
      <c r="A287">
        <v>61735</v>
      </c>
      <c r="B287" t="s">
        <v>516</v>
      </c>
      <c r="C287">
        <v>20203</v>
      </c>
      <c r="D287" t="s">
        <v>517</v>
      </c>
      <c r="E287" s="6">
        <v>359.16000366210938</v>
      </c>
      <c r="G287">
        <v>0</v>
      </c>
      <c r="H287">
        <f t="shared" si="24"/>
        <v>0</v>
      </c>
      <c r="J287">
        <v>0</v>
      </c>
      <c r="K287">
        <f t="shared" si="25"/>
        <v>0</v>
      </c>
      <c r="M287">
        <v>1</v>
      </c>
      <c r="N287">
        <f t="shared" si="26"/>
        <v>3.5916000366210937E-3</v>
      </c>
      <c r="P287">
        <v>0</v>
      </c>
      <c r="Q287">
        <f t="shared" si="27"/>
        <v>0</v>
      </c>
      <c r="S287">
        <v>0</v>
      </c>
      <c r="T287">
        <f t="shared" si="28"/>
        <v>0</v>
      </c>
      <c r="V287">
        <f>_xlfn.XLOOKUP(B287,[1]Sheet1!$B:$B,[1]Sheet1!$C:$C,0,0,1)</f>
        <v>0</v>
      </c>
      <c r="W287">
        <f t="shared" si="29"/>
        <v>0</v>
      </c>
    </row>
    <row r="288" spans="1:23" x14ac:dyDescent="0.2">
      <c r="A288">
        <v>62092</v>
      </c>
      <c r="B288" t="s">
        <v>518</v>
      </c>
      <c r="C288">
        <v>4557</v>
      </c>
      <c r="D288" t="s">
        <v>519</v>
      </c>
      <c r="E288" s="6">
        <v>520.22998046875</v>
      </c>
      <c r="G288">
        <v>0</v>
      </c>
      <c r="H288">
        <f t="shared" si="24"/>
        <v>0</v>
      </c>
      <c r="J288">
        <v>0</v>
      </c>
      <c r="K288">
        <f t="shared" si="25"/>
        <v>0</v>
      </c>
      <c r="M288">
        <v>0</v>
      </c>
      <c r="N288">
        <f t="shared" si="26"/>
        <v>0</v>
      </c>
      <c r="P288">
        <v>0</v>
      </c>
      <c r="Q288">
        <f t="shared" si="27"/>
        <v>0</v>
      </c>
      <c r="S288">
        <v>0</v>
      </c>
      <c r="T288">
        <f t="shared" si="28"/>
        <v>0</v>
      </c>
      <c r="V288">
        <f>_xlfn.XLOOKUP(B288,[1]Sheet1!$B:$B,[1]Sheet1!$C:$C,0,0,1)</f>
        <v>0</v>
      </c>
      <c r="W288">
        <f t="shared" si="29"/>
        <v>0</v>
      </c>
    </row>
    <row r="289" spans="1:23" x14ac:dyDescent="0.2">
      <c r="A289">
        <v>62148</v>
      </c>
      <c r="B289" t="s">
        <v>520</v>
      </c>
      <c r="C289">
        <v>20370</v>
      </c>
      <c r="D289" t="s">
        <v>521</v>
      </c>
      <c r="E289" s="6">
        <v>32.270000457763672</v>
      </c>
      <c r="G289">
        <v>1</v>
      </c>
      <c r="H289">
        <f t="shared" si="24"/>
        <v>3.227000045776367E-4</v>
      </c>
      <c r="J289">
        <v>0</v>
      </c>
      <c r="K289">
        <f t="shared" si="25"/>
        <v>0</v>
      </c>
      <c r="M289">
        <v>7</v>
      </c>
      <c r="N289">
        <f t="shared" si="26"/>
        <v>2.2589000320434572E-3</v>
      </c>
      <c r="P289">
        <v>0</v>
      </c>
      <c r="Q289">
        <f t="shared" si="27"/>
        <v>0</v>
      </c>
      <c r="S289">
        <v>0</v>
      </c>
      <c r="T289">
        <f t="shared" si="28"/>
        <v>0</v>
      </c>
      <c r="V289">
        <f>_xlfn.XLOOKUP(B289,[1]Sheet1!$B:$B,[1]Sheet1!$C:$C,0,0,1)</f>
        <v>0</v>
      </c>
      <c r="W289">
        <f t="shared" si="29"/>
        <v>0</v>
      </c>
    </row>
    <row r="290" spans="1:23" x14ac:dyDescent="0.2">
      <c r="A290">
        <v>62308</v>
      </c>
      <c r="B290" t="s">
        <v>522</v>
      </c>
      <c r="C290">
        <v>21764</v>
      </c>
      <c r="D290" t="s">
        <v>523</v>
      </c>
      <c r="E290" s="6">
        <v>111.51999664306641</v>
      </c>
      <c r="G290">
        <v>0</v>
      </c>
      <c r="H290">
        <f t="shared" si="24"/>
        <v>0</v>
      </c>
      <c r="J290">
        <v>4</v>
      </c>
      <c r="K290">
        <f t="shared" si="25"/>
        <v>4.4607998657226564E-3</v>
      </c>
      <c r="M290">
        <v>3</v>
      </c>
      <c r="N290">
        <f t="shared" si="26"/>
        <v>3.3455998992919923E-3</v>
      </c>
      <c r="P290">
        <v>0</v>
      </c>
      <c r="Q290">
        <f t="shared" si="27"/>
        <v>0</v>
      </c>
      <c r="S290">
        <v>3</v>
      </c>
      <c r="T290">
        <f t="shared" si="28"/>
        <v>3.3455998992919923E-3</v>
      </c>
      <c r="V290">
        <f>_xlfn.XLOOKUP(B290,[1]Sheet1!$B:$B,[1]Sheet1!$C:$C,0,0,1)</f>
        <v>0</v>
      </c>
      <c r="W290">
        <f t="shared" si="29"/>
        <v>0</v>
      </c>
    </row>
    <row r="291" spans="1:23" x14ac:dyDescent="0.2">
      <c r="A291">
        <v>62498</v>
      </c>
      <c r="B291" t="s">
        <v>524</v>
      </c>
      <c r="C291">
        <v>4998</v>
      </c>
      <c r="D291" t="s">
        <v>525</v>
      </c>
      <c r="E291" s="6">
        <v>327.55999755859375</v>
      </c>
      <c r="G291">
        <v>0</v>
      </c>
      <c r="H291">
        <f t="shared" si="24"/>
        <v>0</v>
      </c>
      <c r="J291">
        <v>2</v>
      </c>
      <c r="K291">
        <f t="shared" si="25"/>
        <v>6.5511999511718754E-3</v>
      </c>
      <c r="M291">
        <v>0</v>
      </c>
      <c r="N291">
        <f t="shared" si="26"/>
        <v>0</v>
      </c>
      <c r="P291">
        <v>0</v>
      </c>
      <c r="Q291">
        <f t="shared" si="27"/>
        <v>0</v>
      </c>
      <c r="S291">
        <v>2</v>
      </c>
      <c r="T291">
        <f t="shared" si="28"/>
        <v>6.5511999511718754E-3</v>
      </c>
      <c r="V291">
        <f>_xlfn.XLOOKUP(B291,[1]Sheet1!$B:$B,[1]Sheet1!$C:$C,0,0,1)</f>
        <v>0</v>
      </c>
      <c r="W291">
        <f t="shared" si="29"/>
        <v>0</v>
      </c>
    </row>
    <row r="292" spans="1:23" x14ac:dyDescent="0.2">
      <c r="A292">
        <v>63467</v>
      </c>
      <c r="B292" t="s">
        <v>526</v>
      </c>
      <c r="C292">
        <v>3624</v>
      </c>
      <c r="D292" t="s">
        <v>527</v>
      </c>
      <c r="E292" s="6">
        <v>102.01999664306641</v>
      </c>
      <c r="G292">
        <v>3</v>
      </c>
      <c r="H292">
        <f t="shared" si="24"/>
        <v>3.0605998992919922E-3</v>
      </c>
      <c r="J292">
        <v>12</v>
      </c>
      <c r="K292">
        <f t="shared" si="25"/>
        <v>1.2242399597167969E-2</v>
      </c>
      <c r="M292">
        <v>2</v>
      </c>
      <c r="N292">
        <f t="shared" si="26"/>
        <v>2.0403999328613281E-3</v>
      </c>
      <c r="P292">
        <v>0</v>
      </c>
      <c r="Q292">
        <f t="shared" si="27"/>
        <v>0</v>
      </c>
      <c r="S292">
        <v>19</v>
      </c>
      <c r="T292">
        <f t="shared" si="28"/>
        <v>1.9383799362182617E-2</v>
      </c>
      <c r="V292">
        <f>_xlfn.XLOOKUP(B292,[1]Sheet1!$B:$B,[1]Sheet1!$C:$C,0,0,1)</f>
        <v>0</v>
      </c>
      <c r="W292">
        <f t="shared" si="29"/>
        <v>0</v>
      </c>
    </row>
    <row r="293" spans="1:23" x14ac:dyDescent="0.2">
      <c r="A293">
        <v>64186</v>
      </c>
      <c r="B293" t="s">
        <v>528</v>
      </c>
      <c r="C293">
        <v>20357</v>
      </c>
      <c r="D293" t="s">
        <v>529</v>
      </c>
      <c r="E293" s="6">
        <v>276.1400146484375</v>
      </c>
      <c r="G293">
        <v>0</v>
      </c>
      <c r="H293">
        <f t="shared" si="24"/>
        <v>0</v>
      </c>
      <c r="J293">
        <v>4</v>
      </c>
      <c r="K293">
        <f t="shared" si="25"/>
        <v>1.1045600585937501E-2</v>
      </c>
      <c r="M293">
        <v>1</v>
      </c>
      <c r="N293">
        <f t="shared" si="26"/>
        <v>2.7614001464843752E-3</v>
      </c>
      <c r="P293">
        <v>0</v>
      </c>
      <c r="Q293">
        <f t="shared" si="27"/>
        <v>0</v>
      </c>
      <c r="S293">
        <v>4</v>
      </c>
      <c r="T293">
        <f t="shared" si="28"/>
        <v>1.1045600585937501E-2</v>
      </c>
      <c r="V293">
        <f>_xlfn.XLOOKUP(B293,[1]Sheet1!$B:$B,[1]Sheet1!$C:$C,0,0,1)</f>
        <v>0</v>
      </c>
      <c r="W293">
        <f t="shared" si="29"/>
        <v>0</v>
      </c>
    </row>
    <row r="294" spans="1:23" x14ac:dyDescent="0.2">
      <c r="A294">
        <v>64282</v>
      </c>
      <c r="B294" t="s">
        <v>530</v>
      </c>
      <c r="C294">
        <v>2664</v>
      </c>
      <c r="D294" t="s">
        <v>531</v>
      </c>
      <c r="E294" s="6">
        <v>38.770000457763672</v>
      </c>
      <c r="G294">
        <v>0</v>
      </c>
      <c r="H294">
        <f t="shared" si="24"/>
        <v>0</v>
      </c>
      <c r="J294">
        <v>0</v>
      </c>
      <c r="K294">
        <f t="shared" si="25"/>
        <v>0</v>
      </c>
      <c r="M294">
        <v>2</v>
      </c>
      <c r="N294">
        <f t="shared" si="26"/>
        <v>7.7540000915527342E-4</v>
      </c>
      <c r="P294">
        <v>0</v>
      </c>
      <c r="Q294">
        <f t="shared" si="27"/>
        <v>0</v>
      </c>
      <c r="S294">
        <v>0</v>
      </c>
      <c r="T294">
        <f t="shared" si="28"/>
        <v>0</v>
      </c>
      <c r="V294">
        <f>_xlfn.XLOOKUP(B294,[1]Sheet1!$B:$B,[1]Sheet1!$C:$C,0,0,1)</f>
        <v>0</v>
      </c>
      <c r="W294">
        <f t="shared" si="29"/>
        <v>0</v>
      </c>
    </row>
    <row r="295" spans="1:23" x14ac:dyDescent="0.2">
      <c r="A295">
        <v>64311</v>
      </c>
      <c r="B295" t="s">
        <v>532</v>
      </c>
      <c r="C295">
        <v>21294</v>
      </c>
      <c r="D295" t="s">
        <v>533</v>
      </c>
      <c r="E295" s="6">
        <v>234.69999694824219</v>
      </c>
      <c r="G295">
        <v>0</v>
      </c>
      <c r="H295">
        <f t="shared" si="24"/>
        <v>0</v>
      </c>
      <c r="J295">
        <v>0</v>
      </c>
      <c r="K295">
        <f t="shared" si="25"/>
        <v>0</v>
      </c>
      <c r="M295">
        <v>1</v>
      </c>
      <c r="N295">
        <f t="shared" si="26"/>
        <v>2.3469999694824221E-3</v>
      </c>
      <c r="P295">
        <v>0</v>
      </c>
      <c r="Q295">
        <f t="shared" si="27"/>
        <v>0</v>
      </c>
      <c r="S295">
        <v>0</v>
      </c>
      <c r="T295">
        <f t="shared" si="28"/>
        <v>0</v>
      </c>
      <c r="V295">
        <f>_xlfn.XLOOKUP(B295,[1]Sheet1!$B:$B,[1]Sheet1!$C:$C,0,0,1)</f>
        <v>0</v>
      </c>
      <c r="W295">
        <f t="shared" si="29"/>
        <v>0</v>
      </c>
    </row>
    <row r="296" spans="1:23" x14ac:dyDescent="0.2">
      <c r="A296">
        <v>64390</v>
      </c>
      <c r="B296" t="s">
        <v>534</v>
      </c>
      <c r="C296">
        <v>3682</v>
      </c>
      <c r="D296" t="s">
        <v>535</v>
      </c>
      <c r="E296" s="6">
        <v>239.61000061035156</v>
      </c>
      <c r="G296">
        <v>1</v>
      </c>
      <c r="H296">
        <f t="shared" si="24"/>
        <v>2.3961000061035157E-3</v>
      </c>
      <c r="J296">
        <v>6</v>
      </c>
      <c r="K296">
        <f t="shared" si="25"/>
        <v>1.4376600036621093E-2</v>
      </c>
      <c r="M296">
        <v>1</v>
      </c>
      <c r="N296">
        <f t="shared" si="26"/>
        <v>2.3961000061035157E-3</v>
      </c>
      <c r="P296">
        <v>0</v>
      </c>
      <c r="Q296">
        <f t="shared" si="27"/>
        <v>0</v>
      </c>
      <c r="S296">
        <v>7</v>
      </c>
      <c r="T296">
        <f t="shared" si="28"/>
        <v>1.677270004272461E-2</v>
      </c>
      <c r="V296">
        <f>_xlfn.XLOOKUP(B296,[1]Sheet1!$B:$B,[1]Sheet1!$C:$C,0,0,1)</f>
        <v>0</v>
      </c>
      <c r="W296">
        <f t="shared" si="29"/>
        <v>0</v>
      </c>
    </row>
    <row r="297" spans="1:23" x14ac:dyDescent="0.2">
      <c r="A297">
        <v>64653</v>
      </c>
      <c r="B297" t="s">
        <v>536</v>
      </c>
      <c r="C297">
        <v>4289</v>
      </c>
      <c r="D297" t="s">
        <v>537</v>
      </c>
      <c r="E297" s="6">
        <v>299.44000244140625</v>
      </c>
      <c r="G297">
        <v>0</v>
      </c>
      <c r="H297">
        <f t="shared" si="24"/>
        <v>0</v>
      </c>
      <c r="J297">
        <v>1</v>
      </c>
      <c r="K297">
        <f t="shared" si="25"/>
        <v>2.9944000244140627E-3</v>
      </c>
      <c r="M297">
        <v>0</v>
      </c>
      <c r="N297">
        <f t="shared" si="26"/>
        <v>0</v>
      </c>
      <c r="P297">
        <v>0</v>
      </c>
      <c r="Q297">
        <f t="shared" si="27"/>
        <v>0</v>
      </c>
      <c r="S297">
        <v>0</v>
      </c>
      <c r="T297">
        <f t="shared" si="28"/>
        <v>0</v>
      </c>
      <c r="V297">
        <f>_xlfn.XLOOKUP(B297,[1]Sheet1!$B:$B,[1]Sheet1!$C:$C,0,0,1)</f>
        <v>0</v>
      </c>
      <c r="W297">
        <f t="shared" si="29"/>
        <v>0</v>
      </c>
    </row>
    <row r="298" spans="1:23" x14ac:dyDescent="0.2">
      <c r="A298">
        <v>64936</v>
      </c>
      <c r="B298" t="s">
        <v>538</v>
      </c>
      <c r="C298">
        <v>20592</v>
      </c>
      <c r="D298" t="s">
        <v>539</v>
      </c>
      <c r="E298" s="6">
        <v>53.860000610351562</v>
      </c>
      <c r="G298">
        <v>0</v>
      </c>
      <c r="H298">
        <f t="shared" si="24"/>
        <v>0</v>
      </c>
      <c r="J298">
        <v>0</v>
      </c>
      <c r="K298">
        <f t="shared" si="25"/>
        <v>0</v>
      </c>
      <c r="M298">
        <v>4</v>
      </c>
      <c r="N298">
        <f t="shared" si="26"/>
        <v>2.1544000244140627E-3</v>
      </c>
      <c r="P298">
        <v>0</v>
      </c>
      <c r="Q298">
        <f t="shared" si="27"/>
        <v>0</v>
      </c>
      <c r="S298">
        <v>0</v>
      </c>
      <c r="T298">
        <f t="shared" si="28"/>
        <v>0</v>
      </c>
      <c r="V298">
        <f>_xlfn.XLOOKUP(B298,[1]Sheet1!$B:$B,[1]Sheet1!$C:$C,0,0,1)</f>
        <v>0</v>
      </c>
      <c r="W298">
        <f t="shared" si="29"/>
        <v>0</v>
      </c>
    </row>
    <row r="299" spans="1:23" x14ac:dyDescent="0.2">
      <c r="A299">
        <v>64995</v>
      </c>
      <c r="B299" t="s">
        <v>540</v>
      </c>
      <c r="C299">
        <v>2535</v>
      </c>
      <c r="D299" t="s">
        <v>541</v>
      </c>
      <c r="E299" s="6">
        <v>17.139999389648438</v>
      </c>
      <c r="G299">
        <v>0</v>
      </c>
      <c r="H299">
        <f t="shared" si="24"/>
        <v>0</v>
      </c>
      <c r="J299">
        <v>0</v>
      </c>
      <c r="K299">
        <f t="shared" si="25"/>
        <v>0</v>
      </c>
      <c r="M299">
        <v>16</v>
      </c>
      <c r="N299">
        <f t="shared" si="26"/>
        <v>2.74239990234375E-3</v>
      </c>
      <c r="P299">
        <v>0</v>
      </c>
      <c r="Q299">
        <f t="shared" si="27"/>
        <v>0</v>
      </c>
      <c r="S299">
        <v>0</v>
      </c>
      <c r="T299">
        <f t="shared" si="28"/>
        <v>0</v>
      </c>
      <c r="V299">
        <f>_xlfn.XLOOKUP(B299,[1]Sheet1!$B:$B,[1]Sheet1!$C:$C,0,0,1)</f>
        <v>0</v>
      </c>
      <c r="W299">
        <f t="shared" si="29"/>
        <v>0</v>
      </c>
    </row>
    <row r="300" spans="1:23" x14ac:dyDescent="0.2">
      <c r="A300">
        <v>65402</v>
      </c>
      <c r="B300" t="s">
        <v>542</v>
      </c>
      <c r="C300">
        <v>21625</v>
      </c>
      <c r="D300" t="s">
        <v>543</v>
      </c>
      <c r="E300" s="6">
        <v>68.209999084472656</v>
      </c>
      <c r="G300">
        <v>1</v>
      </c>
      <c r="H300">
        <f t="shared" si="24"/>
        <v>6.8209999084472661E-4</v>
      </c>
      <c r="J300">
        <v>0</v>
      </c>
      <c r="K300">
        <f t="shared" si="25"/>
        <v>0</v>
      </c>
      <c r="M300">
        <v>2</v>
      </c>
      <c r="N300">
        <f t="shared" si="26"/>
        <v>1.3641999816894532E-3</v>
      </c>
      <c r="P300">
        <v>0</v>
      </c>
      <c r="Q300">
        <f t="shared" si="27"/>
        <v>0</v>
      </c>
      <c r="S300">
        <v>0</v>
      </c>
      <c r="T300">
        <f t="shared" si="28"/>
        <v>0</v>
      </c>
      <c r="V300">
        <f>_xlfn.XLOOKUP(B300,[1]Sheet1!$B:$B,[1]Sheet1!$C:$C,0,0,1)</f>
        <v>0</v>
      </c>
      <c r="W300">
        <f t="shared" si="29"/>
        <v>0</v>
      </c>
    </row>
    <row r="301" spans="1:23" x14ac:dyDescent="0.2">
      <c r="A301">
        <v>65541</v>
      </c>
      <c r="B301" t="s">
        <v>544</v>
      </c>
      <c r="C301">
        <v>5780</v>
      </c>
      <c r="D301" t="s">
        <v>545</v>
      </c>
      <c r="E301" s="6">
        <v>91.930000305175781</v>
      </c>
      <c r="G301">
        <v>0</v>
      </c>
      <c r="H301">
        <f t="shared" si="24"/>
        <v>0</v>
      </c>
      <c r="J301">
        <v>0</v>
      </c>
      <c r="K301">
        <f t="shared" si="25"/>
        <v>0</v>
      </c>
      <c r="M301">
        <v>2</v>
      </c>
      <c r="N301">
        <f t="shared" si="26"/>
        <v>1.8386000061035156E-3</v>
      </c>
      <c r="P301">
        <v>0</v>
      </c>
      <c r="Q301">
        <f t="shared" si="27"/>
        <v>0</v>
      </c>
      <c r="S301">
        <v>0</v>
      </c>
      <c r="T301">
        <f t="shared" si="28"/>
        <v>0</v>
      </c>
      <c r="V301">
        <f>_xlfn.XLOOKUP(B301,[1]Sheet1!$B:$B,[1]Sheet1!$C:$C,0,0,1)</f>
        <v>0</v>
      </c>
      <c r="W301">
        <f t="shared" si="29"/>
        <v>0</v>
      </c>
    </row>
    <row r="302" spans="1:23" x14ac:dyDescent="0.2">
      <c r="A302">
        <v>65875</v>
      </c>
      <c r="B302" t="s">
        <v>546</v>
      </c>
      <c r="C302">
        <v>20288</v>
      </c>
      <c r="D302" t="s">
        <v>547</v>
      </c>
      <c r="E302" s="6">
        <v>39.990001678466797</v>
      </c>
      <c r="G302">
        <v>0</v>
      </c>
      <c r="H302">
        <f t="shared" si="24"/>
        <v>0</v>
      </c>
      <c r="J302">
        <v>5</v>
      </c>
      <c r="K302">
        <f t="shared" si="25"/>
        <v>1.99950008392334E-3</v>
      </c>
      <c r="M302">
        <v>6</v>
      </c>
      <c r="N302">
        <f t="shared" si="26"/>
        <v>2.3994001007080078E-3</v>
      </c>
      <c r="P302">
        <v>0</v>
      </c>
      <c r="Q302">
        <f t="shared" si="27"/>
        <v>0</v>
      </c>
      <c r="S302">
        <v>0</v>
      </c>
      <c r="T302">
        <f t="shared" si="28"/>
        <v>0</v>
      </c>
      <c r="V302">
        <f>_xlfn.XLOOKUP(B302,[1]Sheet1!$B:$B,[1]Sheet1!$C:$C,0,0,1)</f>
        <v>0</v>
      </c>
      <c r="W302">
        <f t="shared" si="29"/>
        <v>0</v>
      </c>
    </row>
    <row r="303" spans="1:23" x14ac:dyDescent="0.2">
      <c r="A303">
        <v>65947</v>
      </c>
      <c r="B303" t="s">
        <v>1037</v>
      </c>
      <c r="C303">
        <v>2105</v>
      </c>
      <c r="D303" t="s">
        <v>1038</v>
      </c>
      <c r="E303" s="6">
        <v>126.02999877929688</v>
      </c>
      <c r="G303">
        <v>3</v>
      </c>
      <c r="H303">
        <f t="shared" si="24"/>
        <v>3.7808999633789061E-3</v>
      </c>
      <c r="J303">
        <v>1</v>
      </c>
      <c r="K303">
        <f t="shared" si="25"/>
        <v>1.2602999877929688E-3</v>
      </c>
      <c r="M303">
        <v>2</v>
      </c>
      <c r="N303">
        <f t="shared" si="26"/>
        <v>2.5205999755859377E-3</v>
      </c>
      <c r="P303">
        <v>0</v>
      </c>
      <c r="Q303">
        <f t="shared" si="27"/>
        <v>0</v>
      </c>
      <c r="S303">
        <v>1</v>
      </c>
      <c r="T303">
        <f t="shared" si="28"/>
        <v>1.2602999877929688E-3</v>
      </c>
      <c r="V303">
        <f>_xlfn.XLOOKUP(B303,[1]Sheet1!$B:$B,[1]Sheet1!$C:$C,0,0,1)</f>
        <v>0</v>
      </c>
      <c r="W303">
        <f t="shared" si="29"/>
        <v>0</v>
      </c>
    </row>
    <row r="304" spans="1:23" x14ac:dyDescent="0.2">
      <c r="A304">
        <v>66093</v>
      </c>
      <c r="B304" t="s">
        <v>548</v>
      </c>
      <c r="C304">
        <v>21645</v>
      </c>
      <c r="D304" t="s">
        <v>549</v>
      </c>
      <c r="E304" s="6">
        <v>22.770000457763672</v>
      </c>
      <c r="G304">
        <v>4</v>
      </c>
      <c r="H304">
        <f t="shared" si="24"/>
        <v>9.1080001831054689E-4</v>
      </c>
      <c r="J304">
        <v>0</v>
      </c>
      <c r="K304">
        <f t="shared" si="25"/>
        <v>0</v>
      </c>
      <c r="M304">
        <v>11</v>
      </c>
      <c r="N304">
        <f t="shared" si="26"/>
        <v>2.5047000503540038E-3</v>
      </c>
      <c r="P304">
        <v>57</v>
      </c>
      <c r="Q304">
        <f t="shared" si="27"/>
        <v>1.2978900260925293E-2</v>
      </c>
      <c r="S304">
        <v>9</v>
      </c>
      <c r="T304">
        <f t="shared" si="28"/>
        <v>2.0493000411987306E-3</v>
      </c>
      <c r="V304">
        <f>_xlfn.XLOOKUP(B304,[1]Sheet1!$B:$B,[1]Sheet1!$C:$C,0,0,1)</f>
        <v>0</v>
      </c>
      <c r="W304">
        <f t="shared" si="29"/>
        <v>0</v>
      </c>
    </row>
    <row r="305" spans="1:23" x14ac:dyDescent="0.2">
      <c r="A305">
        <v>66157</v>
      </c>
      <c r="B305" t="s">
        <v>550</v>
      </c>
      <c r="C305">
        <v>1645</v>
      </c>
      <c r="D305" t="s">
        <v>551</v>
      </c>
      <c r="E305" s="6">
        <v>47.830001831054688</v>
      </c>
      <c r="G305">
        <v>1</v>
      </c>
      <c r="H305">
        <f t="shared" si="24"/>
        <v>4.783000183105469E-4</v>
      </c>
      <c r="J305">
        <v>3</v>
      </c>
      <c r="K305">
        <f t="shared" si="25"/>
        <v>1.4349000549316406E-3</v>
      </c>
      <c r="M305">
        <v>6</v>
      </c>
      <c r="N305">
        <f t="shared" si="26"/>
        <v>2.8698001098632813E-3</v>
      </c>
      <c r="P305">
        <v>0</v>
      </c>
      <c r="Q305">
        <f t="shared" si="27"/>
        <v>0</v>
      </c>
      <c r="S305">
        <v>0</v>
      </c>
      <c r="T305">
        <f t="shared" si="28"/>
        <v>0</v>
      </c>
      <c r="V305">
        <f>_xlfn.XLOOKUP(B305,[1]Sheet1!$B:$B,[1]Sheet1!$C:$C,0,0,1)</f>
        <v>0</v>
      </c>
      <c r="W305">
        <f t="shared" si="29"/>
        <v>0</v>
      </c>
    </row>
    <row r="306" spans="1:23" x14ac:dyDescent="0.2">
      <c r="A306">
        <v>66181</v>
      </c>
      <c r="B306" t="s">
        <v>552</v>
      </c>
      <c r="C306">
        <v>5085</v>
      </c>
      <c r="D306" t="s">
        <v>553</v>
      </c>
      <c r="E306" s="6">
        <v>388.989990234375</v>
      </c>
      <c r="G306">
        <v>0</v>
      </c>
      <c r="H306">
        <f t="shared" si="24"/>
        <v>0</v>
      </c>
      <c r="J306">
        <v>0</v>
      </c>
      <c r="K306">
        <f t="shared" si="25"/>
        <v>0</v>
      </c>
      <c r="M306">
        <v>1</v>
      </c>
      <c r="N306">
        <f t="shared" si="26"/>
        <v>3.8898999023437501E-3</v>
      </c>
      <c r="P306">
        <v>0</v>
      </c>
      <c r="Q306">
        <f t="shared" si="27"/>
        <v>0</v>
      </c>
      <c r="S306">
        <v>0</v>
      </c>
      <c r="T306">
        <f t="shared" si="28"/>
        <v>0</v>
      </c>
      <c r="V306">
        <f>_xlfn.XLOOKUP(B306,[1]Sheet1!$B:$B,[1]Sheet1!$C:$C,0,0,1)</f>
        <v>0</v>
      </c>
      <c r="W306">
        <f t="shared" si="29"/>
        <v>0</v>
      </c>
    </row>
    <row r="307" spans="1:23" x14ac:dyDescent="0.2">
      <c r="A307">
        <v>66384</v>
      </c>
      <c r="B307" t="s">
        <v>554</v>
      </c>
      <c r="C307">
        <v>4879</v>
      </c>
      <c r="D307" t="s">
        <v>555</v>
      </c>
      <c r="E307" s="6">
        <v>59.630001068115234</v>
      </c>
      <c r="G307">
        <v>10</v>
      </c>
      <c r="H307">
        <f t="shared" si="24"/>
        <v>5.9630001068115236E-3</v>
      </c>
      <c r="J307">
        <v>0</v>
      </c>
      <c r="K307">
        <f t="shared" si="25"/>
        <v>0</v>
      </c>
      <c r="M307">
        <v>3</v>
      </c>
      <c r="N307">
        <f t="shared" si="26"/>
        <v>1.788900032043457E-3</v>
      </c>
      <c r="P307">
        <v>0</v>
      </c>
      <c r="Q307">
        <f t="shared" si="27"/>
        <v>0</v>
      </c>
      <c r="S307">
        <v>0</v>
      </c>
      <c r="T307">
        <f t="shared" si="28"/>
        <v>0</v>
      </c>
      <c r="V307">
        <f>_xlfn.XLOOKUP(B307,[1]Sheet1!$B:$B,[1]Sheet1!$C:$C,0,0,1)</f>
        <v>0</v>
      </c>
      <c r="W307">
        <f t="shared" si="29"/>
        <v>0</v>
      </c>
    </row>
    <row r="308" spans="1:23" x14ac:dyDescent="0.2">
      <c r="A308">
        <v>66800</v>
      </c>
      <c r="B308" t="s">
        <v>556</v>
      </c>
      <c r="C308">
        <v>137</v>
      </c>
      <c r="D308" t="s">
        <v>557</v>
      </c>
      <c r="E308" s="6">
        <v>72.800003051757812</v>
      </c>
      <c r="G308">
        <v>1</v>
      </c>
      <c r="H308">
        <f t="shared" si="24"/>
        <v>7.2800003051757807E-4</v>
      </c>
      <c r="J308">
        <v>4</v>
      </c>
      <c r="K308">
        <f t="shared" si="25"/>
        <v>2.9120001220703123E-3</v>
      </c>
      <c r="M308">
        <v>5</v>
      </c>
      <c r="N308">
        <f t="shared" si="26"/>
        <v>3.6400001525878907E-3</v>
      </c>
      <c r="P308">
        <v>0</v>
      </c>
      <c r="Q308">
        <f t="shared" si="27"/>
        <v>0</v>
      </c>
      <c r="S308">
        <v>8</v>
      </c>
      <c r="T308">
        <f t="shared" si="28"/>
        <v>5.8240002441406246E-3</v>
      </c>
      <c r="V308">
        <f>_xlfn.XLOOKUP(B308,[1]Sheet1!$B:$B,[1]Sheet1!$C:$C,0,0,1)</f>
        <v>0</v>
      </c>
      <c r="W308">
        <f t="shared" si="29"/>
        <v>0</v>
      </c>
    </row>
    <row r="309" spans="1:23" x14ac:dyDescent="0.2">
      <c r="A309">
        <v>67598</v>
      </c>
      <c r="B309" t="s">
        <v>109</v>
      </c>
      <c r="C309">
        <v>20891</v>
      </c>
      <c r="D309" t="s">
        <v>1039</v>
      </c>
      <c r="E309" s="6">
        <v>20.270000457763672</v>
      </c>
      <c r="G309">
        <v>0</v>
      </c>
      <c r="H309">
        <f t="shared" si="24"/>
        <v>0</v>
      </c>
      <c r="J309">
        <v>35</v>
      </c>
      <c r="K309">
        <f t="shared" si="25"/>
        <v>7.0945001602172849E-3</v>
      </c>
      <c r="M309">
        <v>10</v>
      </c>
      <c r="N309">
        <f t="shared" si="26"/>
        <v>2.0270000457763672E-3</v>
      </c>
      <c r="P309">
        <v>0</v>
      </c>
      <c r="Q309">
        <f t="shared" si="27"/>
        <v>0</v>
      </c>
      <c r="S309">
        <v>29</v>
      </c>
      <c r="T309">
        <f t="shared" si="28"/>
        <v>5.8783001327514647E-3</v>
      </c>
      <c r="V309">
        <f>_xlfn.XLOOKUP(B309,[1]Sheet1!$B:$B,[1]Sheet1!$C:$C,0,0,1)</f>
        <v>1</v>
      </c>
      <c r="W309">
        <f t="shared" si="29"/>
        <v>2.0270000457763671E-4</v>
      </c>
    </row>
    <row r="310" spans="1:23" x14ac:dyDescent="0.2">
      <c r="A310">
        <v>69032</v>
      </c>
      <c r="B310" t="s">
        <v>558</v>
      </c>
      <c r="C310">
        <v>21224</v>
      </c>
      <c r="D310" t="s">
        <v>559</v>
      </c>
      <c r="E310" s="6">
        <v>125.72000122070312</v>
      </c>
      <c r="G310">
        <v>2</v>
      </c>
      <c r="H310">
        <f t="shared" si="24"/>
        <v>2.5144000244140623E-3</v>
      </c>
      <c r="J310">
        <v>0</v>
      </c>
      <c r="K310">
        <f t="shared" si="25"/>
        <v>0</v>
      </c>
      <c r="M310">
        <v>2</v>
      </c>
      <c r="N310">
        <f t="shared" si="26"/>
        <v>2.5144000244140623E-3</v>
      </c>
      <c r="P310">
        <v>7</v>
      </c>
      <c r="Q310">
        <f t="shared" si="27"/>
        <v>8.8004000854492188E-3</v>
      </c>
      <c r="S310">
        <v>0</v>
      </c>
      <c r="T310">
        <f t="shared" si="28"/>
        <v>0</v>
      </c>
      <c r="V310">
        <f>_xlfn.XLOOKUP(B310,[1]Sheet1!$B:$B,[1]Sheet1!$C:$C,0,0,1)</f>
        <v>0</v>
      </c>
      <c r="W310">
        <f t="shared" si="29"/>
        <v>0</v>
      </c>
    </row>
    <row r="311" spans="1:23" x14ac:dyDescent="0.2">
      <c r="A311">
        <v>69649</v>
      </c>
      <c r="B311" t="s">
        <v>560</v>
      </c>
      <c r="C311">
        <v>6137</v>
      </c>
      <c r="D311" t="s">
        <v>561</v>
      </c>
      <c r="E311" s="6">
        <v>155.33000183105469</v>
      </c>
      <c r="G311">
        <v>1</v>
      </c>
      <c r="H311">
        <f t="shared" si="24"/>
        <v>1.553300018310547E-3</v>
      </c>
      <c r="J311">
        <v>0</v>
      </c>
      <c r="K311">
        <f t="shared" si="25"/>
        <v>0</v>
      </c>
      <c r="M311">
        <v>1</v>
      </c>
      <c r="N311">
        <f t="shared" si="26"/>
        <v>1.553300018310547E-3</v>
      </c>
      <c r="P311">
        <v>4</v>
      </c>
      <c r="Q311">
        <f t="shared" si="27"/>
        <v>6.2132000732421878E-3</v>
      </c>
      <c r="S311">
        <v>0</v>
      </c>
      <c r="T311">
        <f t="shared" si="28"/>
        <v>0</v>
      </c>
      <c r="V311">
        <f>_xlfn.XLOOKUP(B311,[1]Sheet1!$B:$B,[1]Sheet1!$C:$C,0,0,1)</f>
        <v>0</v>
      </c>
      <c r="W311">
        <f t="shared" si="29"/>
        <v>0</v>
      </c>
    </row>
    <row r="312" spans="1:23" x14ac:dyDescent="0.2">
      <c r="A312">
        <v>69796</v>
      </c>
      <c r="B312" t="s">
        <v>562</v>
      </c>
      <c r="C312">
        <v>1015</v>
      </c>
      <c r="D312" t="s">
        <v>563</v>
      </c>
      <c r="E312" s="6">
        <v>221</v>
      </c>
      <c r="G312">
        <v>0</v>
      </c>
      <c r="H312">
        <f t="shared" si="24"/>
        <v>0</v>
      </c>
      <c r="J312">
        <v>0</v>
      </c>
      <c r="K312">
        <f t="shared" si="25"/>
        <v>0</v>
      </c>
      <c r="M312">
        <v>1</v>
      </c>
      <c r="N312">
        <f t="shared" si="26"/>
        <v>2.2100000000000002E-3</v>
      </c>
      <c r="P312">
        <v>0</v>
      </c>
      <c r="Q312">
        <f t="shared" si="27"/>
        <v>0</v>
      </c>
      <c r="S312">
        <v>0</v>
      </c>
      <c r="T312">
        <f t="shared" si="28"/>
        <v>0</v>
      </c>
      <c r="V312">
        <f>_xlfn.XLOOKUP(B312,[1]Sheet1!$B:$B,[1]Sheet1!$C:$C,0,0,1)</f>
        <v>0</v>
      </c>
      <c r="W312">
        <f t="shared" si="29"/>
        <v>0</v>
      </c>
    </row>
    <row r="313" spans="1:23" x14ac:dyDescent="0.2">
      <c r="A313">
        <v>70519</v>
      </c>
      <c r="B313" t="s">
        <v>564</v>
      </c>
      <c r="C313">
        <v>20483</v>
      </c>
      <c r="D313" t="s">
        <v>565</v>
      </c>
      <c r="E313" s="6">
        <v>70.389999389648438</v>
      </c>
      <c r="G313">
        <v>3</v>
      </c>
      <c r="H313">
        <f t="shared" si="24"/>
        <v>2.1116999816894531E-3</v>
      </c>
      <c r="J313">
        <v>4</v>
      </c>
      <c r="K313">
        <f t="shared" si="25"/>
        <v>2.8155999755859373E-3</v>
      </c>
      <c r="M313">
        <v>3</v>
      </c>
      <c r="N313">
        <f t="shared" si="26"/>
        <v>2.1116999816894531E-3</v>
      </c>
      <c r="P313">
        <v>15</v>
      </c>
      <c r="Q313">
        <f t="shared" si="27"/>
        <v>1.0558499908447266E-2</v>
      </c>
      <c r="S313">
        <v>6</v>
      </c>
      <c r="T313">
        <f t="shared" si="28"/>
        <v>4.2233999633789062E-3</v>
      </c>
      <c r="V313">
        <f>_xlfn.XLOOKUP(B313,[1]Sheet1!$B:$B,[1]Sheet1!$C:$C,0,0,1)</f>
        <v>0</v>
      </c>
      <c r="W313">
        <f t="shared" si="29"/>
        <v>0</v>
      </c>
    </row>
    <row r="314" spans="1:23" x14ac:dyDescent="0.2">
      <c r="A314">
        <v>70578</v>
      </c>
      <c r="B314" t="s">
        <v>566</v>
      </c>
      <c r="C314">
        <v>1467</v>
      </c>
      <c r="D314" t="s">
        <v>567</v>
      </c>
      <c r="E314" s="6">
        <v>234.32000732421875</v>
      </c>
      <c r="G314">
        <v>1</v>
      </c>
      <c r="H314">
        <f t="shared" si="24"/>
        <v>2.3432000732421876E-3</v>
      </c>
      <c r="J314">
        <v>0</v>
      </c>
      <c r="K314">
        <f t="shared" si="25"/>
        <v>0</v>
      </c>
      <c r="M314">
        <v>1</v>
      </c>
      <c r="N314">
        <f t="shared" si="26"/>
        <v>2.3432000732421876E-3</v>
      </c>
      <c r="P314">
        <v>0</v>
      </c>
      <c r="Q314">
        <f t="shared" si="27"/>
        <v>0</v>
      </c>
      <c r="S314">
        <v>0</v>
      </c>
      <c r="T314">
        <f t="shared" si="28"/>
        <v>0</v>
      </c>
      <c r="V314">
        <f>_xlfn.XLOOKUP(B314,[1]Sheet1!$B:$B,[1]Sheet1!$C:$C,0,0,1)</f>
        <v>0</v>
      </c>
      <c r="W314">
        <f t="shared" si="29"/>
        <v>0</v>
      </c>
    </row>
    <row r="315" spans="1:23" x14ac:dyDescent="0.2">
      <c r="A315">
        <v>71563</v>
      </c>
      <c r="B315" t="s">
        <v>568</v>
      </c>
      <c r="C315">
        <v>4163</v>
      </c>
      <c r="D315" t="s">
        <v>569</v>
      </c>
      <c r="E315" s="6">
        <v>43.380001068115234</v>
      </c>
      <c r="G315">
        <v>0</v>
      </c>
      <c r="H315">
        <f t="shared" si="24"/>
        <v>0</v>
      </c>
      <c r="J315">
        <v>7</v>
      </c>
      <c r="K315">
        <f t="shared" si="25"/>
        <v>3.0366000747680663E-3</v>
      </c>
      <c r="M315">
        <v>8</v>
      </c>
      <c r="N315">
        <f t="shared" si="26"/>
        <v>3.4704000854492187E-3</v>
      </c>
      <c r="P315">
        <v>0</v>
      </c>
      <c r="Q315">
        <f t="shared" si="27"/>
        <v>0</v>
      </c>
      <c r="S315">
        <v>0</v>
      </c>
      <c r="T315">
        <f t="shared" si="28"/>
        <v>0</v>
      </c>
      <c r="V315">
        <f>_xlfn.XLOOKUP(B315,[1]Sheet1!$B:$B,[1]Sheet1!$C:$C,0,0,1)</f>
        <v>0</v>
      </c>
      <c r="W315">
        <f t="shared" si="29"/>
        <v>0</v>
      </c>
    </row>
    <row r="316" spans="1:23" x14ac:dyDescent="0.2">
      <c r="A316">
        <v>72726</v>
      </c>
      <c r="B316" t="s">
        <v>570</v>
      </c>
      <c r="C316">
        <v>4260</v>
      </c>
      <c r="D316" t="s">
        <v>571</v>
      </c>
      <c r="E316" s="6">
        <v>98.150001525878906</v>
      </c>
      <c r="G316">
        <v>1</v>
      </c>
      <c r="H316">
        <f t="shared" si="24"/>
        <v>9.8150001525878897E-4</v>
      </c>
      <c r="J316">
        <v>0</v>
      </c>
      <c r="K316">
        <f t="shared" si="25"/>
        <v>0</v>
      </c>
      <c r="M316">
        <v>3</v>
      </c>
      <c r="N316">
        <f t="shared" si="26"/>
        <v>2.9445000457763671E-3</v>
      </c>
      <c r="P316">
        <v>11</v>
      </c>
      <c r="Q316">
        <f t="shared" si="27"/>
        <v>1.079650016784668E-2</v>
      </c>
      <c r="S316">
        <v>0</v>
      </c>
      <c r="T316">
        <f t="shared" si="28"/>
        <v>0</v>
      </c>
      <c r="V316">
        <f>_xlfn.XLOOKUP(B316,[1]Sheet1!$B:$B,[1]Sheet1!$C:$C,0,0,1)</f>
        <v>0</v>
      </c>
      <c r="W316">
        <f t="shared" si="29"/>
        <v>0</v>
      </c>
    </row>
    <row r="317" spans="1:23" x14ac:dyDescent="0.2">
      <c r="A317">
        <v>73139</v>
      </c>
      <c r="B317" t="s">
        <v>572</v>
      </c>
      <c r="C317">
        <v>4298</v>
      </c>
      <c r="D317" t="s">
        <v>573</v>
      </c>
      <c r="E317" s="6">
        <v>360.04998779296875</v>
      </c>
      <c r="G317">
        <v>1</v>
      </c>
      <c r="H317">
        <f t="shared" si="24"/>
        <v>3.6004998779296873E-3</v>
      </c>
      <c r="J317">
        <v>1</v>
      </c>
      <c r="K317">
        <f t="shared" si="25"/>
        <v>3.6004998779296873E-3</v>
      </c>
      <c r="M317">
        <v>1</v>
      </c>
      <c r="N317">
        <f t="shared" si="26"/>
        <v>3.6004998779296873E-3</v>
      </c>
      <c r="P317">
        <v>0</v>
      </c>
      <c r="Q317">
        <f t="shared" si="27"/>
        <v>0</v>
      </c>
      <c r="S317">
        <v>1</v>
      </c>
      <c r="T317">
        <f t="shared" si="28"/>
        <v>3.6004998779296873E-3</v>
      </c>
      <c r="V317">
        <f>_xlfn.XLOOKUP(B317,[1]Sheet1!$B:$B,[1]Sheet1!$C:$C,0,0,1)</f>
        <v>0</v>
      </c>
      <c r="W317">
        <f t="shared" si="29"/>
        <v>0</v>
      </c>
    </row>
    <row r="318" spans="1:23" x14ac:dyDescent="0.2">
      <c r="A318">
        <v>75034</v>
      </c>
      <c r="B318" t="s">
        <v>574</v>
      </c>
      <c r="C318">
        <v>20253</v>
      </c>
      <c r="D318" t="s">
        <v>575</v>
      </c>
      <c r="E318" s="6">
        <v>41.020000457763672</v>
      </c>
      <c r="G318">
        <v>4</v>
      </c>
      <c r="H318">
        <f t="shared" si="24"/>
        <v>1.6408000183105469E-3</v>
      </c>
      <c r="J318">
        <v>0</v>
      </c>
      <c r="K318">
        <f t="shared" si="25"/>
        <v>0</v>
      </c>
      <c r="M318">
        <v>7</v>
      </c>
      <c r="N318">
        <f t="shared" si="26"/>
        <v>2.8714000320434569E-3</v>
      </c>
      <c r="P318">
        <v>15</v>
      </c>
      <c r="Q318">
        <f t="shared" si="27"/>
        <v>6.1530000686645511E-3</v>
      </c>
      <c r="S318">
        <v>0</v>
      </c>
      <c r="T318">
        <f t="shared" si="28"/>
        <v>0</v>
      </c>
      <c r="V318">
        <f>_xlfn.XLOOKUP(B318,[1]Sheet1!$B:$B,[1]Sheet1!$C:$C,0,0,1)</f>
        <v>0</v>
      </c>
      <c r="W318">
        <f t="shared" si="29"/>
        <v>0</v>
      </c>
    </row>
    <row r="319" spans="1:23" x14ac:dyDescent="0.2">
      <c r="A319">
        <v>75154</v>
      </c>
      <c r="B319" t="s">
        <v>576</v>
      </c>
      <c r="C319">
        <v>20394</v>
      </c>
      <c r="D319" t="s">
        <v>577</v>
      </c>
      <c r="E319" s="6">
        <v>24.920000076293945</v>
      </c>
      <c r="G319">
        <v>34</v>
      </c>
      <c r="H319">
        <f t="shared" si="24"/>
        <v>8.472800025939942E-3</v>
      </c>
      <c r="J319">
        <v>16</v>
      </c>
      <c r="K319">
        <f t="shared" si="25"/>
        <v>3.9872000122070312E-3</v>
      </c>
      <c r="M319">
        <v>9</v>
      </c>
      <c r="N319">
        <f t="shared" si="26"/>
        <v>2.242800006866455E-3</v>
      </c>
      <c r="P319">
        <v>19</v>
      </c>
      <c r="Q319">
        <f t="shared" si="27"/>
        <v>4.7348000144958498E-3</v>
      </c>
      <c r="S319">
        <v>13</v>
      </c>
      <c r="T319">
        <f t="shared" si="28"/>
        <v>3.239600009918213E-3</v>
      </c>
      <c r="V319">
        <f>_xlfn.XLOOKUP(B319,[1]Sheet1!$B:$B,[1]Sheet1!$C:$C,0,0,1)</f>
        <v>1</v>
      </c>
      <c r="W319">
        <f t="shared" si="29"/>
        <v>2.4920000076293945E-4</v>
      </c>
    </row>
    <row r="320" spans="1:23" x14ac:dyDescent="0.2">
      <c r="A320">
        <v>75186</v>
      </c>
      <c r="B320" t="s">
        <v>578</v>
      </c>
      <c r="C320">
        <v>21578</v>
      </c>
      <c r="D320" t="s">
        <v>579</v>
      </c>
      <c r="E320" s="6">
        <v>74.010002136230469</v>
      </c>
      <c r="G320">
        <v>0</v>
      </c>
      <c r="H320">
        <f t="shared" si="24"/>
        <v>0</v>
      </c>
      <c r="J320">
        <v>2</v>
      </c>
      <c r="K320">
        <f t="shared" si="25"/>
        <v>1.4802000427246093E-3</v>
      </c>
      <c r="M320">
        <v>4</v>
      </c>
      <c r="N320">
        <f t="shared" si="26"/>
        <v>2.9604000854492186E-3</v>
      </c>
      <c r="P320">
        <v>0</v>
      </c>
      <c r="Q320">
        <f t="shared" si="27"/>
        <v>0</v>
      </c>
      <c r="S320">
        <v>3</v>
      </c>
      <c r="T320">
        <f t="shared" si="28"/>
        <v>2.2203000640869139E-3</v>
      </c>
      <c r="V320">
        <f>_xlfn.XLOOKUP(B320,[1]Sheet1!$B:$B,[1]Sheet1!$C:$C,0,0,1)</f>
        <v>0</v>
      </c>
      <c r="W320">
        <f t="shared" si="29"/>
        <v>0</v>
      </c>
    </row>
    <row r="321" spans="1:23" x14ac:dyDescent="0.2">
      <c r="A321">
        <v>75591</v>
      </c>
      <c r="B321" t="s">
        <v>580</v>
      </c>
      <c r="C321">
        <v>22075</v>
      </c>
      <c r="D321" t="s">
        <v>581</v>
      </c>
      <c r="E321" s="6">
        <v>209.28999328613281</v>
      </c>
      <c r="G321">
        <v>0</v>
      </c>
      <c r="H321">
        <f t="shared" si="24"/>
        <v>0</v>
      </c>
      <c r="J321">
        <v>0</v>
      </c>
      <c r="K321">
        <f t="shared" si="25"/>
        <v>0</v>
      </c>
      <c r="M321">
        <v>1</v>
      </c>
      <c r="N321">
        <f t="shared" si="26"/>
        <v>2.0928999328613282E-3</v>
      </c>
      <c r="P321">
        <v>0</v>
      </c>
      <c r="Q321">
        <f t="shared" si="27"/>
        <v>0</v>
      </c>
      <c r="S321">
        <v>0</v>
      </c>
      <c r="T321">
        <f t="shared" si="28"/>
        <v>0</v>
      </c>
      <c r="V321">
        <f>_xlfn.XLOOKUP(B321,[1]Sheet1!$B:$B,[1]Sheet1!$C:$C,0,0,1)</f>
        <v>0</v>
      </c>
      <c r="W321">
        <f t="shared" si="29"/>
        <v>0</v>
      </c>
    </row>
    <row r="322" spans="1:23" x14ac:dyDescent="0.2">
      <c r="A322">
        <v>75607</v>
      </c>
      <c r="B322" t="s">
        <v>582</v>
      </c>
      <c r="C322">
        <v>10224</v>
      </c>
      <c r="D322" t="s">
        <v>583</v>
      </c>
      <c r="E322" s="6">
        <v>27.379999160766602</v>
      </c>
      <c r="G322">
        <v>4</v>
      </c>
      <c r="H322">
        <f t="shared" si="24"/>
        <v>1.0951999664306641E-3</v>
      </c>
      <c r="J322">
        <v>0</v>
      </c>
      <c r="K322">
        <f t="shared" si="25"/>
        <v>0</v>
      </c>
      <c r="M322">
        <v>2</v>
      </c>
      <c r="N322">
        <f t="shared" si="26"/>
        <v>5.4759998321533203E-4</v>
      </c>
      <c r="P322">
        <v>0</v>
      </c>
      <c r="Q322">
        <f t="shared" si="27"/>
        <v>0</v>
      </c>
      <c r="S322">
        <v>0</v>
      </c>
      <c r="T322">
        <f t="shared" si="28"/>
        <v>0</v>
      </c>
      <c r="V322">
        <f>_xlfn.XLOOKUP(B322,[1]Sheet1!$B:$B,[1]Sheet1!$C:$C,0,0,1)</f>
        <v>0</v>
      </c>
      <c r="W322">
        <f t="shared" si="29"/>
        <v>0</v>
      </c>
    </row>
    <row r="323" spans="1:23" x14ac:dyDescent="0.2">
      <c r="A323">
        <v>75694</v>
      </c>
      <c r="B323" t="s">
        <v>584</v>
      </c>
      <c r="C323">
        <v>10107</v>
      </c>
      <c r="D323" t="s">
        <v>585</v>
      </c>
      <c r="E323" s="6">
        <v>72.029998779296875</v>
      </c>
      <c r="G323">
        <v>0</v>
      </c>
      <c r="H323">
        <f t="shared" si="24"/>
        <v>0</v>
      </c>
      <c r="J323">
        <v>12</v>
      </c>
      <c r="K323">
        <f t="shared" si="25"/>
        <v>8.6435998535156246E-3</v>
      </c>
      <c r="M323">
        <v>1</v>
      </c>
      <c r="N323">
        <f t="shared" si="26"/>
        <v>7.2029998779296871E-4</v>
      </c>
      <c r="P323">
        <v>0</v>
      </c>
      <c r="Q323">
        <f t="shared" si="27"/>
        <v>0</v>
      </c>
      <c r="S323">
        <v>10</v>
      </c>
      <c r="T323">
        <f t="shared" si="28"/>
        <v>7.2029998779296871E-3</v>
      </c>
      <c r="V323">
        <f>_xlfn.XLOOKUP(B323,[1]Sheet1!$B:$B,[1]Sheet1!$C:$C,0,0,1)</f>
        <v>0</v>
      </c>
      <c r="W323">
        <f t="shared" si="29"/>
        <v>0</v>
      </c>
    </row>
    <row r="324" spans="1:23" x14ac:dyDescent="0.2">
      <c r="A324">
        <v>75819</v>
      </c>
      <c r="B324" t="s">
        <v>586</v>
      </c>
      <c r="C324">
        <v>10302</v>
      </c>
      <c r="D324" t="s">
        <v>587</v>
      </c>
      <c r="E324" s="6">
        <v>58.889999389648438</v>
      </c>
      <c r="G324">
        <v>2</v>
      </c>
      <c r="H324">
        <f t="shared" si="24"/>
        <v>1.1777999877929687E-3</v>
      </c>
      <c r="J324">
        <v>0</v>
      </c>
      <c r="K324">
        <f t="shared" si="25"/>
        <v>0</v>
      </c>
      <c r="M324">
        <v>4</v>
      </c>
      <c r="N324">
        <f t="shared" si="26"/>
        <v>2.3555999755859374E-3</v>
      </c>
      <c r="P324">
        <v>0</v>
      </c>
      <c r="Q324">
        <f t="shared" si="27"/>
        <v>0</v>
      </c>
      <c r="S324">
        <v>0</v>
      </c>
      <c r="T324">
        <f t="shared" si="28"/>
        <v>0</v>
      </c>
      <c r="V324">
        <f>_xlfn.XLOOKUP(B324,[1]Sheet1!$B:$B,[1]Sheet1!$C:$C,0,0,1)</f>
        <v>0</v>
      </c>
      <c r="W324">
        <f t="shared" si="29"/>
        <v>0</v>
      </c>
    </row>
    <row r="325" spans="1:23" x14ac:dyDescent="0.2">
      <c r="A325">
        <v>75825</v>
      </c>
      <c r="B325" t="s">
        <v>588</v>
      </c>
      <c r="C325">
        <v>22113</v>
      </c>
      <c r="D325" t="s">
        <v>589</v>
      </c>
      <c r="E325" s="6">
        <v>122.58000183105469</v>
      </c>
      <c r="G325">
        <v>0</v>
      </c>
      <c r="H325">
        <f t="shared" si="24"/>
        <v>0</v>
      </c>
      <c r="J325">
        <v>0</v>
      </c>
      <c r="K325">
        <f t="shared" si="25"/>
        <v>0</v>
      </c>
      <c r="M325">
        <v>2</v>
      </c>
      <c r="N325">
        <f t="shared" si="26"/>
        <v>2.4516000366210937E-3</v>
      </c>
      <c r="P325">
        <v>0</v>
      </c>
      <c r="Q325">
        <f t="shared" si="27"/>
        <v>0</v>
      </c>
      <c r="S325">
        <v>0</v>
      </c>
      <c r="T325">
        <f t="shared" si="28"/>
        <v>0</v>
      </c>
      <c r="V325">
        <f>_xlfn.XLOOKUP(B325,[1]Sheet1!$B:$B,[1]Sheet1!$C:$C,0,0,1)</f>
        <v>0</v>
      </c>
      <c r="W325">
        <f t="shared" si="29"/>
        <v>0</v>
      </c>
    </row>
    <row r="326" spans="1:23" x14ac:dyDescent="0.2">
      <c r="A326">
        <v>75828</v>
      </c>
      <c r="B326" t="s">
        <v>590</v>
      </c>
      <c r="C326">
        <v>10303</v>
      </c>
      <c r="D326" t="s">
        <v>591</v>
      </c>
      <c r="E326" s="6">
        <v>146.30000305175781</v>
      </c>
      <c r="G326">
        <v>1</v>
      </c>
      <c r="H326">
        <f t="shared" si="24"/>
        <v>1.4630000305175782E-3</v>
      </c>
      <c r="J326">
        <v>0</v>
      </c>
      <c r="K326">
        <f t="shared" si="25"/>
        <v>0</v>
      </c>
      <c r="M326">
        <v>1</v>
      </c>
      <c r="N326">
        <f t="shared" si="26"/>
        <v>1.4630000305175782E-3</v>
      </c>
      <c r="P326">
        <v>0</v>
      </c>
      <c r="Q326">
        <f t="shared" si="27"/>
        <v>0</v>
      </c>
      <c r="S326">
        <v>0</v>
      </c>
      <c r="T326">
        <f t="shared" si="28"/>
        <v>0</v>
      </c>
      <c r="V326">
        <f>_xlfn.XLOOKUP(B326,[1]Sheet1!$B:$B,[1]Sheet1!$C:$C,0,0,1)</f>
        <v>0</v>
      </c>
      <c r="W326">
        <f t="shared" si="29"/>
        <v>0</v>
      </c>
    </row>
    <row r="327" spans="1:23" x14ac:dyDescent="0.2">
      <c r="A327">
        <v>75912</v>
      </c>
      <c r="B327" t="s">
        <v>592</v>
      </c>
      <c r="C327">
        <v>10408</v>
      </c>
      <c r="D327" t="s">
        <v>593</v>
      </c>
      <c r="E327" s="6">
        <v>183.8699951171875</v>
      </c>
      <c r="G327">
        <v>1</v>
      </c>
      <c r="H327">
        <f t="shared" si="24"/>
        <v>1.838699951171875E-3</v>
      </c>
      <c r="J327">
        <v>0</v>
      </c>
      <c r="K327">
        <f t="shared" si="25"/>
        <v>0</v>
      </c>
      <c r="M327">
        <v>1</v>
      </c>
      <c r="N327">
        <f t="shared" si="26"/>
        <v>1.838699951171875E-3</v>
      </c>
      <c r="P327">
        <v>0</v>
      </c>
      <c r="Q327">
        <f t="shared" si="27"/>
        <v>0</v>
      </c>
      <c r="S327">
        <v>0</v>
      </c>
      <c r="T327">
        <f t="shared" si="28"/>
        <v>0</v>
      </c>
      <c r="V327">
        <f>_xlfn.XLOOKUP(B327,[1]Sheet1!$B:$B,[1]Sheet1!$C:$C,0,0,1)</f>
        <v>0</v>
      </c>
      <c r="W327">
        <f t="shared" si="29"/>
        <v>0</v>
      </c>
    </row>
    <row r="328" spans="1:23" x14ac:dyDescent="0.2">
      <c r="A328">
        <v>76076</v>
      </c>
      <c r="B328" t="s">
        <v>594</v>
      </c>
      <c r="C328">
        <v>10486</v>
      </c>
      <c r="D328" t="s">
        <v>595</v>
      </c>
      <c r="E328" s="6">
        <v>59.200000762939453</v>
      </c>
      <c r="G328">
        <v>2</v>
      </c>
      <c r="H328">
        <f t="shared" si="24"/>
        <v>1.184000015258789E-3</v>
      </c>
      <c r="J328">
        <v>11</v>
      </c>
      <c r="K328">
        <f t="shared" si="25"/>
        <v>6.5120000839233401E-3</v>
      </c>
      <c r="M328">
        <v>4</v>
      </c>
      <c r="N328">
        <f t="shared" si="26"/>
        <v>2.3680000305175779E-3</v>
      </c>
      <c r="P328">
        <v>25</v>
      </c>
      <c r="Q328">
        <f t="shared" si="27"/>
        <v>1.4800000190734863E-2</v>
      </c>
      <c r="S328">
        <v>0</v>
      </c>
      <c r="T328">
        <f t="shared" si="28"/>
        <v>0</v>
      </c>
      <c r="V328">
        <f>_xlfn.XLOOKUP(B328,[1]Sheet1!$B:$B,[1]Sheet1!$C:$C,0,0,1)</f>
        <v>0</v>
      </c>
      <c r="W328">
        <f t="shared" si="29"/>
        <v>0</v>
      </c>
    </row>
    <row r="329" spans="1:23" x14ac:dyDescent="0.2">
      <c r="A329">
        <v>76082</v>
      </c>
      <c r="B329" t="s">
        <v>596</v>
      </c>
      <c r="C329">
        <v>26024</v>
      </c>
      <c r="D329" t="s">
        <v>597</v>
      </c>
      <c r="E329" s="6">
        <v>25.540000915527344</v>
      </c>
      <c r="G329">
        <v>1</v>
      </c>
      <c r="H329">
        <f t="shared" si="24"/>
        <v>2.5540000915527346E-4</v>
      </c>
      <c r="J329">
        <v>0</v>
      </c>
      <c r="K329">
        <f t="shared" si="25"/>
        <v>0</v>
      </c>
      <c r="M329">
        <v>15</v>
      </c>
      <c r="N329">
        <f t="shared" si="26"/>
        <v>3.8310001373291014E-3</v>
      </c>
      <c r="P329">
        <v>0</v>
      </c>
      <c r="Q329">
        <f t="shared" si="27"/>
        <v>0</v>
      </c>
      <c r="S329">
        <v>0</v>
      </c>
      <c r="T329">
        <f t="shared" si="28"/>
        <v>0</v>
      </c>
      <c r="V329">
        <f>_xlfn.XLOOKUP(B329,[1]Sheet1!$B:$B,[1]Sheet1!$C:$C,0,0,1)</f>
        <v>0</v>
      </c>
      <c r="W329">
        <f t="shared" si="29"/>
        <v>0</v>
      </c>
    </row>
    <row r="330" spans="1:23" x14ac:dyDescent="0.2">
      <c r="A330">
        <v>76095</v>
      </c>
      <c r="B330" t="s">
        <v>598</v>
      </c>
      <c r="C330">
        <v>10504</v>
      </c>
      <c r="D330" t="s">
        <v>599</v>
      </c>
      <c r="E330" s="6">
        <v>72.089996337890625</v>
      </c>
      <c r="G330">
        <v>0</v>
      </c>
      <c r="H330">
        <f t="shared" si="24"/>
        <v>0</v>
      </c>
      <c r="J330">
        <v>4</v>
      </c>
      <c r="K330">
        <f t="shared" si="25"/>
        <v>2.8835998535156251E-3</v>
      </c>
      <c r="M330">
        <v>3</v>
      </c>
      <c r="N330">
        <f t="shared" si="26"/>
        <v>2.1626998901367188E-3</v>
      </c>
      <c r="P330">
        <v>0</v>
      </c>
      <c r="Q330">
        <f t="shared" si="27"/>
        <v>0</v>
      </c>
      <c r="S330">
        <v>3</v>
      </c>
      <c r="T330">
        <f t="shared" si="28"/>
        <v>2.1626998901367188E-3</v>
      </c>
      <c r="V330">
        <f>_xlfn.XLOOKUP(B330,[1]Sheet1!$B:$B,[1]Sheet1!$C:$C,0,0,1)</f>
        <v>0</v>
      </c>
      <c r="W330">
        <f t="shared" si="29"/>
        <v>0</v>
      </c>
    </row>
    <row r="331" spans="1:23" x14ac:dyDescent="0.2">
      <c r="A331">
        <v>76185</v>
      </c>
      <c r="B331" t="s">
        <v>600</v>
      </c>
      <c r="C331">
        <v>26080</v>
      </c>
      <c r="D331" t="s">
        <v>601</v>
      </c>
      <c r="E331" s="6">
        <v>576.6400146484375</v>
      </c>
      <c r="G331">
        <v>1</v>
      </c>
      <c r="H331">
        <f t="shared" si="24"/>
        <v>5.7664001464843746E-3</v>
      </c>
      <c r="J331">
        <v>0</v>
      </c>
      <c r="K331">
        <f t="shared" si="25"/>
        <v>0</v>
      </c>
      <c r="M331">
        <v>0</v>
      </c>
      <c r="N331">
        <f t="shared" si="26"/>
        <v>0</v>
      </c>
      <c r="P331">
        <v>0</v>
      </c>
      <c r="Q331">
        <f t="shared" si="27"/>
        <v>0</v>
      </c>
      <c r="S331">
        <v>0</v>
      </c>
      <c r="T331">
        <f t="shared" si="28"/>
        <v>0</v>
      </c>
      <c r="V331">
        <f>_xlfn.XLOOKUP(B331,[1]Sheet1!$B:$B,[1]Sheet1!$C:$C,0,0,1)</f>
        <v>0</v>
      </c>
      <c r="W331">
        <f t="shared" si="29"/>
        <v>0</v>
      </c>
    </row>
    <row r="332" spans="1:23" x14ac:dyDescent="0.2">
      <c r="A332">
        <v>76226</v>
      </c>
      <c r="B332" t="s">
        <v>602</v>
      </c>
      <c r="C332">
        <v>21866</v>
      </c>
      <c r="D332" t="s">
        <v>603</v>
      </c>
      <c r="E332" s="6">
        <v>10.460000038146973</v>
      </c>
      <c r="G332">
        <v>0</v>
      </c>
      <c r="H332">
        <f t="shared" si="24"/>
        <v>0</v>
      </c>
      <c r="J332">
        <v>0</v>
      </c>
      <c r="K332">
        <f t="shared" si="25"/>
        <v>0</v>
      </c>
      <c r="M332">
        <v>31</v>
      </c>
      <c r="N332">
        <f t="shared" si="26"/>
        <v>3.2426000118255614E-3</v>
      </c>
      <c r="P332">
        <v>0</v>
      </c>
      <c r="Q332">
        <f t="shared" si="27"/>
        <v>0</v>
      </c>
      <c r="S332">
        <v>0</v>
      </c>
      <c r="T332">
        <f t="shared" si="28"/>
        <v>0</v>
      </c>
      <c r="V332">
        <f>_xlfn.XLOOKUP(B332,[1]Sheet1!$B:$B,[1]Sheet1!$C:$C,0,0,1)</f>
        <v>0</v>
      </c>
      <c r="W332">
        <f t="shared" si="29"/>
        <v>0</v>
      </c>
    </row>
    <row r="333" spans="1:23" x14ac:dyDescent="0.2">
      <c r="A333">
        <v>76230</v>
      </c>
      <c r="B333" t="s">
        <v>604</v>
      </c>
      <c r="C333">
        <v>10691</v>
      </c>
      <c r="D333" t="s">
        <v>605</v>
      </c>
      <c r="E333" s="6">
        <v>70.660003662109375</v>
      </c>
      <c r="G333">
        <v>2</v>
      </c>
      <c r="H333">
        <f t="shared" si="24"/>
        <v>1.4132000732421876E-3</v>
      </c>
      <c r="J333">
        <v>0</v>
      </c>
      <c r="K333">
        <f t="shared" si="25"/>
        <v>0</v>
      </c>
      <c r="M333">
        <v>2</v>
      </c>
      <c r="N333">
        <f t="shared" si="26"/>
        <v>1.4132000732421876E-3</v>
      </c>
      <c r="P333">
        <v>9</v>
      </c>
      <c r="Q333">
        <f t="shared" si="27"/>
        <v>6.3594003295898436E-3</v>
      </c>
      <c r="S333">
        <v>0</v>
      </c>
      <c r="T333">
        <f t="shared" si="28"/>
        <v>0</v>
      </c>
      <c r="V333">
        <f>_xlfn.XLOOKUP(B333,[1]Sheet1!$B:$B,[1]Sheet1!$C:$C,0,0,1)</f>
        <v>0</v>
      </c>
      <c r="W333">
        <f t="shared" si="29"/>
        <v>0</v>
      </c>
    </row>
    <row r="334" spans="1:23" x14ac:dyDescent="0.2">
      <c r="A334">
        <v>76605</v>
      </c>
      <c r="B334" t="s">
        <v>606</v>
      </c>
      <c r="C334">
        <v>29009</v>
      </c>
      <c r="D334" t="s">
        <v>607</v>
      </c>
      <c r="E334" s="6">
        <v>3202</v>
      </c>
      <c r="G334">
        <v>0</v>
      </c>
      <c r="H334">
        <f t="shared" si="24"/>
        <v>0</v>
      </c>
      <c r="J334">
        <v>0</v>
      </c>
      <c r="K334">
        <f t="shared" si="25"/>
        <v>0</v>
      </c>
      <c r="M334">
        <v>0</v>
      </c>
      <c r="N334">
        <f t="shared" si="26"/>
        <v>0</v>
      </c>
      <c r="P334">
        <v>0</v>
      </c>
      <c r="Q334">
        <f t="shared" si="27"/>
        <v>0</v>
      </c>
      <c r="S334">
        <v>0</v>
      </c>
      <c r="T334">
        <f t="shared" si="28"/>
        <v>0</v>
      </c>
      <c r="V334">
        <f>_xlfn.XLOOKUP(B334,[1]Sheet1!$B:$B,[1]Sheet1!$C:$C,0,0,1)</f>
        <v>0</v>
      </c>
      <c r="W334">
        <f t="shared" si="29"/>
        <v>0</v>
      </c>
    </row>
    <row r="335" spans="1:23" x14ac:dyDescent="0.2">
      <c r="A335">
        <v>76614</v>
      </c>
      <c r="B335" t="s">
        <v>608</v>
      </c>
      <c r="C335">
        <v>10876</v>
      </c>
      <c r="D335" t="s">
        <v>609</v>
      </c>
      <c r="E335" s="6">
        <v>712.33001708984375</v>
      </c>
      <c r="G335">
        <v>0</v>
      </c>
      <c r="H335">
        <f t="shared" si="24"/>
        <v>0</v>
      </c>
      <c r="J335">
        <v>0</v>
      </c>
      <c r="K335">
        <f t="shared" si="25"/>
        <v>0</v>
      </c>
      <c r="M335">
        <v>0</v>
      </c>
      <c r="N335">
        <f t="shared" si="26"/>
        <v>0</v>
      </c>
      <c r="P335">
        <v>0</v>
      </c>
      <c r="Q335">
        <f t="shared" si="27"/>
        <v>0</v>
      </c>
      <c r="S335">
        <v>0</v>
      </c>
      <c r="T335">
        <f t="shared" si="28"/>
        <v>0</v>
      </c>
      <c r="V335">
        <f>_xlfn.XLOOKUP(B335,[1]Sheet1!$B:$B,[1]Sheet1!$C:$C,0,0,1)</f>
        <v>0</v>
      </c>
      <c r="W335">
        <f t="shared" si="29"/>
        <v>0</v>
      </c>
    </row>
    <row r="336" spans="1:23" x14ac:dyDescent="0.2">
      <c r="A336">
        <v>76709</v>
      </c>
      <c r="B336" t="s">
        <v>610</v>
      </c>
      <c r="C336">
        <v>10989</v>
      </c>
      <c r="D336" t="s">
        <v>611</v>
      </c>
      <c r="E336" s="6">
        <v>413.44000244140625</v>
      </c>
      <c r="G336">
        <v>0</v>
      </c>
      <c r="H336">
        <f t="shared" ref="H336:H399" si="30">G336*E336/$C$5</f>
        <v>0</v>
      </c>
      <c r="J336">
        <v>0</v>
      </c>
      <c r="K336">
        <f t="shared" ref="K336:K399" si="31">J336*E336/$C$5</f>
        <v>0</v>
      </c>
      <c r="M336">
        <v>0</v>
      </c>
      <c r="N336">
        <f t="shared" ref="N336:N399" si="32">M336*E336/$C$5</f>
        <v>0</v>
      </c>
      <c r="P336">
        <v>0</v>
      </c>
      <c r="Q336">
        <f t="shared" ref="Q336:Q399" si="33">P336*E336/$C$5</f>
        <v>0</v>
      </c>
      <c r="S336">
        <v>0</v>
      </c>
      <c r="T336">
        <f t="shared" ref="T336:T399" si="34">S336*E336/$C$5</f>
        <v>0</v>
      </c>
      <c r="V336">
        <f>_xlfn.XLOOKUP(B336,[1]Sheet1!$B:$B,[1]Sheet1!$C:$C,0,0,1)</f>
        <v>0</v>
      </c>
      <c r="W336">
        <f t="shared" ref="W336:W399" si="35">V336*E336/$C$5</f>
        <v>0</v>
      </c>
    </row>
    <row r="337" spans="1:23" x14ac:dyDescent="0.2">
      <c r="A337">
        <v>76712</v>
      </c>
      <c r="B337" t="s">
        <v>612</v>
      </c>
      <c r="C337">
        <v>10996</v>
      </c>
      <c r="D337" t="s">
        <v>613</v>
      </c>
      <c r="E337" s="6">
        <v>12.869999885559082</v>
      </c>
      <c r="G337">
        <v>0</v>
      </c>
      <c r="H337">
        <f t="shared" si="30"/>
        <v>0</v>
      </c>
      <c r="J337">
        <v>82</v>
      </c>
      <c r="K337">
        <f t="shared" si="31"/>
        <v>1.0553399906158447E-2</v>
      </c>
      <c r="M337">
        <v>16</v>
      </c>
      <c r="N337">
        <f t="shared" si="32"/>
        <v>2.0591999816894531E-3</v>
      </c>
      <c r="P337">
        <v>0</v>
      </c>
      <c r="Q337">
        <f t="shared" si="33"/>
        <v>0</v>
      </c>
      <c r="S337">
        <v>62</v>
      </c>
      <c r="T337">
        <f t="shared" si="34"/>
        <v>7.9793999290466312E-3</v>
      </c>
      <c r="V337">
        <f>_xlfn.XLOOKUP(B337,[1]Sheet1!$B:$B,[1]Sheet1!$C:$C,0,0,1)</f>
        <v>3</v>
      </c>
      <c r="W337">
        <f t="shared" si="35"/>
        <v>3.8609999656677245E-4</v>
      </c>
    </row>
    <row r="338" spans="1:23" x14ac:dyDescent="0.2">
      <c r="A338">
        <v>76744</v>
      </c>
      <c r="B338" t="s">
        <v>614</v>
      </c>
      <c r="C338">
        <v>11042</v>
      </c>
      <c r="D338" t="s">
        <v>615</v>
      </c>
      <c r="E338" s="6">
        <v>402.70001220703125</v>
      </c>
      <c r="G338">
        <v>0</v>
      </c>
      <c r="H338">
        <f t="shared" si="30"/>
        <v>0</v>
      </c>
      <c r="J338">
        <v>0</v>
      </c>
      <c r="K338">
        <f t="shared" si="31"/>
        <v>0</v>
      </c>
      <c r="M338">
        <v>0</v>
      </c>
      <c r="N338">
        <f t="shared" si="32"/>
        <v>0</v>
      </c>
      <c r="P338">
        <v>0</v>
      </c>
      <c r="Q338">
        <f t="shared" si="33"/>
        <v>0</v>
      </c>
      <c r="S338">
        <v>0</v>
      </c>
      <c r="T338">
        <f t="shared" si="34"/>
        <v>0</v>
      </c>
      <c r="V338">
        <f>_xlfn.XLOOKUP(B338,[1]Sheet1!$B:$B,[1]Sheet1!$C:$C,0,0,1)</f>
        <v>0</v>
      </c>
      <c r="W338">
        <f t="shared" si="35"/>
        <v>0</v>
      </c>
    </row>
    <row r="339" spans="1:23" x14ac:dyDescent="0.2">
      <c r="A339">
        <v>76795</v>
      </c>
      <c r="B339" t="s">
        <v>616</v>
      </c>
      <c r="C339">
        <v>11092</v>
      </c>
      <c r="D339" t="s">
        <v>617</v>
      </c>
      <c r="E339" s="6">
        <v>386.22000122070312</v>
      </c>
      <c r="G339">
        <v>1</v>
      </c>
      <c r="H339">
        <f t="shared" si="30"/>
        <v>3.8622000122070311E-3</v>
      </c>
      <c r="J339">
        <v>0</v>
      </c>
      <c r="K339">
        <f t="shared" si="31"/>
        <v>0</v>
      </c>
      <c r="M339">
        <v>0</v>
      </c>
      <c r="N339">
        <f t="shared" si="32"/>
        <v>0</v>
      </c>
      <c r="P339">
        <v>2</v>
      </c>
      <c r="Q339">
        <f t="shared" si="33"/>
        <v>7.7244000244140621E-3</v>
      </c>
      <c r="S339">
        <v>0</v>
      </c>
      <c r="T339">
        <f t="shared" si="34"/>
        <v>0</v>
      </c>
      <c r="V339">
        <f>_xlfn.XLOOKUP(B339,[1]Sheet1!$B:$B,[1]Sheet1!$C:$C,0,0,1)</f>
        <v>0</v>
      </c>
      <c r="W339">
        <f t="shared" si="35"/>
        <v>0</v>
      </c>
    </row>
    <row r="340" spans="1:23" x14ac:dyDescent="0.2">
      <c r="A340">
        <v>76841</v>
      </c>
      <c r="B340" t="s">
        <v>618</v>
      </c>
      <c r="C340">
        <v>11112</v>
      </c>
      <c r="D340" t="s">
        <v>619</v>
      </c>
      <c r="E340" s="6">
        <v>152.91999816894531</v>
      </c>
      <c r="G340">
        <v>0</v>
      </c>
      <c r="H340">
        <f t="shared" si="30"/>
        <v>0</v>
      </c>
      <c r="J340">
        <v>0</v>
      </c>
      <c r="K340">
        <f t="shared" si="31"/>
        <v>0</v>
      </c>
      <c r="M340">
        <v>0</v>
      </c>
      <c r="N340">
        <f t="shared" si="32"/>
        <v>0</v>
      </c>
      <c r="P340">
        <v>0</v>
      </c>
      <c r="Q340">
        <f t="shared" si="33"/>
        <v>0</v>
      </c>
      <c r="S340">
        <v>2</v>
      </c>
      <c r="T340">
        <f t="shared" si="34"/>
        <v>3.0583999633789064E-3</v>
      </c>
      <c r="V340">
        <f>_xlfn.XLOOKUP(B340,[1]Sheet1!$B:$B,[1]Sheet1!$C:$C,0,0,1)</f>
        <v>0</v>
      </c>
      <c r="W340">
        <f t="shared" si="35"/>
        <v>0</v>
      </c>
    </row>
    <row r="341" spans="1:23" x14ac:dyDescent="0.2">
      <c r="A341">
        <v>77037</v>
      </c>
      <c r="B341" t="s">
        <v>620</v>
      </c>
      <c r="C341">
        <v>11161</v>
      </c>
      <c r="D341" t="s">
        <v>621</v>
      </c>
      <c r="E341" s="6">
        <v>176.39999389648438</v>
      </c>
      <c r="G341">
        <v>1</v>
      </c>
      <c r="H341">
        <f t="shared" si="30"/>
        <v>1.7639999389648438E-3</v>
      </c>
      <c r="J341">
        <v>2</v>
      </c>
      <c r="K341">
        <f t="shared" si="31"/>
        <v>3.5279998779296877E-3</v>
      </c>
      <c r="M341">
        <v>1</v>
      </c>
      <c r="N341">
        <f t="shared" si="32"/>
        <v>1.7639999389648438E-3</v>
      </c>
      <c r="P341">
        <v>0</v>
      </c>
      <c r="Q341">
        <f t="shared" si="33"/>
        <v>0</v>
      </c>
      <c r="S341">
        <v>2</v>
      </c>
      <c r="T341">
        <f t="shared" si="34"/>
        <v>3.5279998779296877E-3</v>
      </c>
      <c r="V341">
        <f>_xlfn.XLOOKUP(B341,[1]Sheet1!$B:$B,[1]Sheet1!$C:$C,0,0,1)</f>
        <v>0</v>
      </c>
      <c r="W341">
        <f t="shared" si="35"/>
        <v>0</v>
      </c>
    </row>
    <row r="342" spans="1:23" x14ac:dyDescent="0.2">
      <c r="A342">
        <v>77129</v>
      </c>
      <c r="B342" t="s">
        <v>622</v>
      </c>
      <c r="C342">
        <v>29335</v>
      </c>
      <c r="D342" t="s">
        <v>623</v>
      </c>
      <c r="E342" s="6">
        <v>23.430000305175781</v>
      </c>
      <c r="G342">
        <v>2</v>
      </c>
      <c r="H342">
        <f t="shared" si="30"/>
        <v>4.6860000610351565E-4</v>
      </c>
      <c r="J342">
        <v>0</v>
      </c>
      <c r="K342">
        <f t="shared" si="31"/>
        <v>0</v>
      </c>
      <c r="M342">
        <v>10</v>
      </c>
      <c r="N342">
        <f t="shared" si="32"/>
        <v>2.3430000305175781E-3</v>
      </c>
      <c r="P342">
        <v>0</v>
      </c>
      <c r="Q342">
        <f t="shared" si="33"/>
        <v>0</v>
      </c>
      <c r="S342">
        <v>0</v>
      </c>
      <c r="T342">
        <f t="shared" si="34"/>
        <v>0</v>
      </c>
      <c r="V342">
        <f>_xlfn.XLOOKUP(B342,[1]Sheet1!$B:$B,[1]Sheet1!$C:$C,0,0,1)</f>
        <v>0</v>
      </c>
      <c r="W342">
        <f t="shared" si="35"/>
        <v>0</v>
      </c>
    </row>
    <row r="343" spans="1:23" x14ac:dyDescent="0.2">
      <c r="A343">
        <v>77178</v>
      </c>
      <c r="B343" t="s">
        <v>624</v>
      </c>
      <c r="C343">
        <v>11253</v>
      </c>
      <c r="D343" t="s">
        <v>625</v>
      </c>
      <c r="E343" s="6">
        <v>153.6199951171875</v>
      </c>
      <c r="G343">
        <v>1</v>
      </c>
      <c r="H343">
        <f t="shared" si="30"/>
        <v>1.536199951171875E-3</v>
      </c>
      <c r="J343">
        <v>0</v>
      </c>
      <c r="K343">
        <f t="shared" si="31"/>
        <v>0</v>
      </c>
      <c r="M343">
        <v>1</v>
      </c>
      <c r="N343">
        <f t="shared" si="32"/>
        <v>1.536199951171875E-3</v>
      </c>
      <c r="P343">
        <v>0</v>
      </c>
      <c r="Q343">
        <f t="shared" si="33"/>
        <v>0</v>
      </c>
      <c r="S343">
        <v>0</v>
      </c>
      <c r="T343">
        <f t="shared" si="34"/>
        <v>0</v>
      </c>
      <c r="V343">
        <f>_xlfn.XLOOKUP(B343,[1]Sheet1!$B:$B,[1]Sheet1!$C:$C,0,0,1)</f>
        <v>0</v>
      </c>
      <c r="W343">
        <f t="shared" si="35"/>
        <v>0</v>
      </c>
    </row>
    <row r="344" spans="1:23" x14ac:dyDescent="0.2">
      <c r="A344">
        <v>77274</v>
      </c>
      <c r="B344" t="s">
        <v>626</v>
      </c>
      <c r="C344">
        <v>11300</v>
      </c>
      <c r="D344" t="s">
        <v>627</v>
      </c>
      <c r="E344" s="6">
        <v>92.370002746582031</v>
      </c>
      <c r="G344">
        <v>0</v>
      </c>
      <c r="H344">
        <f t="shared" si="30"/>
        <v>0</v>
      </c>
      <c r="J344">
        <v>8</v>
      </c>
      <c r="K344">
        <f t="shared" si="31"/>
        <v>7.3896002197265621E-3</v>
      </c>
      <c r="M344">
        <v>2</v>
      </c>
      <c r="N344">
        <f t="shared" si="32"/>
        <v>1.8474000549316405E-3</v>
      </c>
      <c r="P344">
        <v>10</v>
      </c>
      <c r="Q344">
        <f t="shared" si="33"/>
        <v>9.2370002746582029E-3</v>
      </c>
      <c r="S344">
        <v>4</v>
      </c>
      <c r="T344">
        <f t="shared" si="34"/>
        <v>3.6948001098632811E-3</v>
      </c>
      <c r="V344">
        <f>_xlfn.XLOOKUP(B344,[1]Sheet1!$B:$B,[1]Sheet1!$C:$C,0,0,1)</f>
        <v>0</v>
      </c>
      <c r="W344">
        <f t="shared" si="35"/>
        <v>0</v>
      </c>
    </row>
    <row r="345" spans="1:23" x14ac:dyDescent="0.2">
      <c r="A345">
        <v>77338</v>
      </c>
      <c r="B345" t="s">
        <v>628</v>
      </c>
      <c r="C345">
        <v>11344</v>
      </c>
      <c r="D345" t="s">
        <v>629</v>
      </c>
      <c r="E345" s="6">
        <v>519.8499755859375</v>
      </c>
      <c r="G345">
        <v>0</v>
      </c>
      <c r="H345">
        <f t="shared" si="30"/>
        <v>0</v>
      </c>
      <c r="J345">
        <v>0</v>
      </c>
      <c r="K345">
        <f t="shared" si="31"/>
        <v>0</v>
      </c>
      <c r="M345">
        <v>0</v>
      </c>
      <c r="N345">
        <f t="shared" si="32"/>
        <v>0</v>
      </c>
      <c r="P345">
        <v>0</v>
      </c>
      <c r="Q345">
        <f t="shared" si="33"/>
        <v>0</v>
      </c>
      <c r="S345">
        <v>0</v>
      </c>
      <c r="T345">
        <f t="shared" si="34"/>
        <v>0</v>
      </c>
      <c r="V345">
        <f>_xlfn.XLOOKUP(B345,[1]Sheet1!$B:$B,[1]Sheet1!$C:$C,0,0,1)</f>
        <v>0</v>
      </c>
      <c r="W345">
        <f t="shared" si="35"/>
        <v>0</v>
      </c>
    </row>
    <row r="346" spans="1:23" x14ac:dyDescent="0.2">
      <c r="A346">
        <v>77357</v>
      </c>
      <c r="B346" t="s">
        <v>630</v>
      </c>
      <c r="C346">
        <v>11361</v>
      </c>
      <c r="D346" t="s">
        <v>631</v>
      </c>
      <c r="E346" s="6">
        <v>485.3599853515625</v>
      </c>
      <c r="G346">
        <v>0</v>
      </c>
      <c r="H346">
        <f t="shared" si="30"/>
        <v>0</v>
      </c>
      <c r="J346">
        <v>0</v>
      </c>
      <c r="K346">
        <f t="shared" si="31"/>
        <v>0</v>
      </c>
      <c r="M346">
        <v>0</v>
      </c>
      <c r="N346">
        <f t="shared" si="32"/>
        <v>0</v>
      </c>
      <c r="P346">
        <v>0</v>
      </c>
      <c r="Q346">
        <f t="shared" si="33"/>
        <v>0</v>
      </c>
      <c r="S346">
        <v>0</v>
      </c>
      <c r="T346">
        <f t="shared" si="34"/>
        <v>0</v>
      </c>
      <c r="V346">
        <f>_xlfn.XLOOKUP(B346,[1]Sheet1!$B:$B,[1]Sheet1!$C:$C,0,0,1)</f>
        <v>0</v>
      </c>
      <c r="W346">
        <f t="shared" si="35"/>
        <v>0</v>
      </c>
    </row>
    <row r="347" spans="1:23" x14ac:dyDescent="0.2">
      <c r="A347">
        <v>77496</v>
      </c>
      <c r="B347" t="s">
        <v>632</v>
      </c>
      <c r="C347">
        <v>11446</v>
      </c>
      <c r="D347" t="s">
        <v>633</v>
      </c>
      <c r="E347" s="6">
        <v>119.12999725341797</v>
      </c>
      <c r="G347">
        <v>1</v>
      </c>
      <c r="H347">
        <f t="shared" si="30"/>
        <v>1.1912999725341798E-3</v>
      </c>
      <c r="J347">
        <v>1</v>
      </c>
      <c r="K347">
        <f t="shared" si="31"/>
        <v>1.1912999725341798E-3</v>
      </c>
      <c r="M347">
        <v>1</v>
      </c>
      <c r="N347">
        <f t="shared" si="32"/>
        <v>1.1912999725341798E-3</v>
      </c>
      <c r="P347">
        <v>0</v>
      </c>
      <c r="Q347">
        <f t="shared" si="33"/>
        <v>0</v>
      </c>
      <c r="S347">
        <v>0</v>
      </c>
      <c r="T347">
        <f t="shared" si="34"/>
        <v>0</v>
      </c>
      <c r="V347">
        <f>_xlfn.XLOOKUP(B347,[1]Sheet1!$B:$B,[1]Sheet1!$C:$C,0,0,1)</f>
        <v>0</v>
      </c>
      <c r="W347">
        <f t="shared" si="35"/>
        <v>0</v>
      </c>
    </row>
    <row r="348" spans="1:23" x14ac:dyDescent="0.2">
      <c r="A348">
        <v>77605</v>
      </c>
      <c r="B348" t="s">
        <v>634</v>
      </c>
      <c r="C348">
        <v>29489</v>
      </c>
      <c r="D348" t="s">
        <v>635</v>
      </c>
      <c r="E348" s="6">
        <v>89.319999694824219</v>
      </c>
      <c r="G348">
        <v>4</v>
      </c>
      <c r="H348">
        <f t="shared" si="30"/>
        <v>3.5727999877929687E-3</v>
      </c>
      <c r="J348">
        <v>0</v>
      </c>
      <c r="K348">
        <f t="shared" si="31"/>
        <v>0</v>
      </c>
      <c r="M348">
        <v>2</v>
      </c>
      <c r="N348">
        <f t="shared" si="32"/>
        <v>1.7863999938964844E-3</v>
      </c>
      <c r="P348">
        <v>15</v>
      </c>
      <c r="Q348">
        <f t="shared" si="33"/>
        <v>1.3397999954223633E-2</v>
      </c>
      <c r="S348">
        <v>0</v>
      </c>
      <c r="T348">
        <f t="shared" si="34"/>
        <v>0</v>
      </c>
      <c r="V348">
        <f>_xlfn.XLOOKUP(B348,[1]Sheet1!$B:$B,[1]Sheet1!$C:$C,0,0,1)</f>
        <v>0</v>
      </c>
      <c r="W348">
        <f t="shared" si="35"/>
        <v>0</v>
      </c>
    </row>
    <row r="349" spans="1:23" x14ac:dyDescent="0.2">
      <c r="A349">
        <v>77649</v>
      </c>
      <c r="B349" t="s">
        <v>636</v>
      </c>
      <c r="C349">
        <v>11547</v>
      </c>
      <c r="D349" t="s">
        <v>637</v>
      </c>
      <c r="E349" s="6">
        <v>205.55999755859375</v>
      </c>
      <c r="G349">
        <v>0</v>
      </c>
      <c r="H349">
        <f t="shared" si="30"/>
        <v>0</v>
      </c>
      <c r="J349">
        <v>0</v>
      </c>
      <c r="K349">
        <f t="shared" si="31"/>
        <v>0</v>
      </c>
      <c r="M349">
        <v>1</v>
      </c>
      <c r="N349">
        <f t="shared" si="32"/>
        <v>2.0555999755859375E-3</v>
      </c>
      <c r="P349">
        <v>0</v>
      </c>
      <c r="Q349">
        <f t="shared" si="33"/>
        <v>0</v>
      </c>
      <c r="S349">
        <v>0</v>
      </c>
      <c r="T349">
        <f t="shared" si="34"/>
        <v>0</v>
      </c>
      <c r="V349">
        <f>_xlfn.XLOOKUP(B349,[1]Sheet1!$B:$B,[1]Sheet1!$C:$C,0,0,1)</f>
        <v>0</v>
      </c>
      <c r="W349">
        <f t="shared" si="35"/>
        <v>0</v>
      </c>
    </row>
    <row r="350" spans="1:23" x14ac:dyDescent="0.2">
      <c r="A350">
        <v>77661</v>
      </c>
      <c r="B350" t="s">
        <v>638</v>
      </c>
      <c r="C350">
        <v>11559</v>
      </c>
      <c r="D350" t="s">
        <v>639</v>
      </c>
      <c r="E350" s="6">
        <v>139.82000732421875</v>
      </c>
      <c r="G350">
        <v>2</v>
      </c>
      <c r="H350">
        <f t="shared" si="30"/>
        <v>2.7964001464843751E-3</v>
      </c>
      <c r="J350">
        <v>0</v>
      </c>
      <c r="K350">
        <f t="shared" si="31"/>
        <v>0</v>
      </c>
      <c r="M350">
        <v>1</v>
      </c>
      <c r="N350">
        <f t="shared" si="32"/>
        <v>1.3982000732421875E-3</v>
      </c>
      <c r="P350">
        <v>0</v>
      </c>
      <c r="Q350">
        <f t="shared" si="33"/>
        <v>0</v>
      </c>
      <c r="S350">
        <v>0</v>
      </c>
      <c r="T350">
        <f t="shared" si="34"/>
        <v>0</v>
      </c>
      <c r="V350">
        <f>_xlfn.XLOOKUP(B350,[1]Sheet1!$B:$B,[1]Sheet1!$C:$C,0,0,1)</f>
        <v>0</v>
      </c>
      <c r="W350">
        <f t="shared" si="35"/>
        <v>0</v>
      </c>
    </row>
    <row r="351" spans="1:23" x14ac:dyDescent="0.2">
      <c r="A351">
        <v>77702</v>
      </c>
      <c r="B351" t="s">
        <v>640</v>
      </c>
      <c r="C351">
        <v>11592</v>
      </c>
      <c r="D351" t="s">
        <v>641</v>
      </c>
      <c r="E351" s="6">
        <v>91.25</v>
      </c>
      <c r="G351">
        <v>0</v>
      </c>
      <c r="H351">
        <f t="shared" si="30"/>
        <v>0</v>
      </c>
      <c r="J351">
        <v>0</v>
      </c>
      <c r="K351">
        <f t="shared" si="31"/>
        <v>0</v>
      </c>
      <c r="M351">
        <v>2</v>
      </c>
      <c r="N351">
        <f t="shared" si="32"/>
        <v>1.825E-3</v>
      </c>
      <c r="P351">
        <v>0</v>
      </c>
      <c r="Q351">
        <f t="shared" si="33"/>
        <v>0</v>
      </c>
      <c r="S351">
        <v>0</v>
      </c>
      <c r="T351">
        <f t="shared" si="34"/>
        <v>0</v>
      </c>
      <c r="V351">
        <f>_xlfn.XLOOKUP(B351,[1]Sheet1!$B:$B,[1]Sheet1!$C:$C,0,0,1)</f>
        <v>0</v>
      </c>
      <c r="W351">
        <f t="shared" si="35"/>
        <v>0</v>
      </c>
    </row>
    <row r="352" spans="1:23" x14ac:dyDescent="0.2">
      <c r="A352">
        <v>77730</v>
      </c>
      <c r="B352" t="s">
        <v>642</v>
      </c>
      <c r="C352">
        <v>4620</v>
      </c>
      <c r="D352" t="s">
        <v>643</v>
      </c>
      <c r="E352" s="6">
        <v>57.439998626708984</v>
      </c>
      <c r="G352">
        <v>0</v>
      </c>
      <c r="H352">
        <f t="shared" si="30"/>
        <v>0</v>
      </c>
      <c r="J352">
        <v>0</v>
      </c>
      <c r="K352">
        <f t="shared" si="31"/>
        <v>0</v>
      </c>
      <c r="M352">
        <v>4</v>
      </c>
      <c r="N352">
        <f t="shared" si="32"/>
        <v>2.2975999450683595E-3</v>
      </c>
      <c r="P352">
        <v>0</v>
      </c>
      <c r="Q352">
        <f t="shared" si="33"/>
        <v>0</v>
      </c>
      <c r="S352">
        <v>0</v>
      </c>
      <c r="T352">
        <f t="shared" si="34"/>
        <v>0</v>
      </c>
      <c r="V352">
        <f>_xlfn.XLOOKUP(B352,[1]Sheet1!$B:$B,[1]Sheet1!$C:$C,0,0,1)</f>
        <v>0</v>
      </c>
      <c r="W352">
        <f t="shared" si="35"/>
        <v>0</v>
      </c>
    </row>
    <row r="353" spans="1:23" x14ac:dyDescent="0.2">
      <c r="A353">
        <v>78975</v>
      </c>
      <c r="B353" t="s">
        <v>644</v>
      </c>
      <c r="C353">
        <v>12011</v>
      </c>
      <c r="D353" t="s">
        <v>645</v>
      </c>
      <c r="E353" s="6">
        <v>628.5</v>
      </c>
      <c r="G353">
        <v>0</v>
      </c>
      <c r="H353">
        <f t="shared" si="30"/>
        <v>0</v>
      </c>
      <c r="J353">
        <v>0</v>
      </c>
      <c r="K353">
        <f t="shared" si="31"/>
        <v>0</v>
      </c>
      <c r="M353">
        <v>0</v>
      </c>
      <c r="N353">
        <f t="shared" si="32"/>
        <v>0</v>
      </c>
      <c r="P353">
        <v>0</v>
      </c>
      <c r="Q353">
        <f t="shared" si="33"/>
        <v>0</v>
      </c>
      <c r="S353">
        <v>0</v>
      </c>
      <c r="T353">
        <f t="shared" si="34"/>
        <v>0</v>
      </c>
      <c r="V353">
        <f>_xlfn.XLOOKUP(B353,[1]Sheet1!$B:$B,[1]Sheet1!$C:$C,0,0,1)</f>
        <v>0</v>
      </c>
      <c r="W353">
        <f t="shared" si="35"/>
        <v>0</v>
      </c>
    </row>
    <row r="354" spans="1:23" x14ac:dyDescent="0.2">
      <c r="A354">
        <v>78987</v>
      </c>
      <c r="B354" t="s">
        <v>646</v>
      </c>
      <c r="C354">
        <v>12027</v>
      </c>
      <c r="D354" t="s">
        <v>647</v>
      </c>
      <c r="E354" s="6">
        <v>57.349998474121094</v>
      </c>
      <c r="G354">
        <v>0</v>
      </c>
      <c r="H354">
        <f t="shared" si="30"/>
        <v>0</v>
      </c>
      <c r="J354">
        <v>4</v>
      </c>
      <c r="K354">
        <f t="shared" si="31"/>
        <v>2.2939999389648439E-3</v>
      </c>
      <c r="M354">
        <v>3</v>
      </c>
      <c r="N354">
        <f t="shared" si="32"/>
        <v>1.7204999542236327E-3</v>
      </c>
      <c r="P354">
        <v>0</v>
      </c>
      <c r="Q354">
        <f t="shared" si="33"/>
        <v>0</v>
      </c>
      <c r="S354">
        <v>3</v>
      </c>
      <c r="T354">
        <f t="shared" si="34"/>
        <v>1.7204999542236327E-3</v>
      </c>
      <c r="V354">
        <f>_xlfn.XLOOKUP(B354,[1]Sheet1!$B:$B,[1]Sheet1!$C:$C,0,0,1)</f>
        <v>0</v>
      </c>
      <c r="W354">
        <f t="shared" si="35"/>
        <v>0</v>
      </c>
    </row>
    <row r="355" spans="1:23" x14ac:dyDescent="0.2">
      <c r="A355">
        <v>79057</v>
      </c>
      <c r="B355" t="s">
        <v>648</v>
      </c>
      <c r="C355">
        <v>29796</v>
      </c>
      <c r="D355" t="s">
        <v>649</v>
      </c>
      <c r="E355" s="6">
        <v>276.29998779296875</v>
      </c>
      <c r="G355">
        <v>0</v>
      </c>
      <c r="H355">
        <f t="shared" si="30"/>
        <v>0</v>
      </c>
      <c r="J355">
        <v>0</v>
      </c>
      <c r="K355">
        <f t="shared" si="31"/>
        <v>0</v>
      </c>
      <c r="M355">
        <v>1</v>
      </c>
      <c r="N355">
        <f t="shared" si="32"/>
        <v>2.7629998779296876E-3</v>
      </c>
      <c r="P355">
        <v>0</v>
      </c>
      <c r="Q355">
        <f t="shared" si="33"/>
        <v>0</v>
      </c>
      <c r="S355">
        <v>0</v>
      </c>
      <c r="T355">
        <f t="shared" si="34"/>
        <v>0</v>
      </c>
      <c r="V355">
        <f>_xlfn.XLOOKUP(B355,[1]Sheet1!$B:$B,[1]Sheet1!$C:$C,0,0,1)</f>
        <v>0</v>
      </c>
      <c r="W355">
        <f t="shared" si="35"/>
        <v>0</v>
      </c>
    </row>
    <row r="356" spans="1:23" x14ac:dyDescent="0.2">
      <c r="A356">
        <v>79094</v>
      </c>
      <c r="B356" t="s">
        <v>650</v>
      </c>
      <c r="C356">
        <v>12108</v>
      </c>
      <c r="D356" t="s">
        <v>651</v>
      </c>
      <c r="E356" s="6">
        <v>143.89999389648438</v>
      </c>
      <c r="G356">
        <v>3</v>
      </c>
      <c r="H356">
        <f t="shared" si="30"/>
        <v>4.3169998168945314E-3</v>
      </c>
      <c r="J356">
        <v>1</v>
      </c>
      <c r="K356">
        <f t="shared" si="31"/>
        <v>1.4389999389648436E-3</v>
      </c>
      <c r="M356">
        <v>1</v>
      </c>
      <c r="N356">
        <f t="shared" si="32"/>
        <v>1.4389999389648436E-3</v>
      </c>
      <c r="P356">
        <v>5</v>
      </c>
      <c r="Q356">
        <f t="shared" si="33"/>
        <v>7.1949996948242187E-3</v>
      </c>
      <c r="S356">
        <v>0</v>
      </c>
      <c r="T356">
        <f t="shared" si="34"/>
        <v>0</v>
      </c>
      <c r="V356">
        <f>_xlfn.XLOOKUP(B356,[1]Sheet1!$B:$B,[1]Sheet1!$C:$C,0,0,1)</f>
        <v>0</v>
      </c>
      <c r="W356">
        <f t="shared" si="35"/>
        <v>0</v>
      </c>
    </row>
    <row r="357" spans="1:23" x14ac:dyDescent="0.2">
      <c r="A357">
        <v>79103</v>
      </c>
      <c r="B357" t="s">
        <v>652</v>
      </c>
      <c r="C357">
        <v>12097</v>
      </c>
      <c r="D357" t="s">
        <v>653</v>
      </c>
      <c r="E357" s="6">
        <v>1185.800048828125</v>
      </c>
      <c r="G357">
        <v>7</v>
      </c>
      <c r="H357">
        <f t="shared" si="30"/>
        <v>8.3006003417968752E-2</v>
      </c>
      <c r="J357">
        <v>0</v>
      </c>
      <c r="K357">
        <f t="shared" si="31"/>
        <v>0</v>
      </c>
      <c r="M357">
        <v>0</v>
      </c>
      <c r="N357">
        <f t="shared" si="32"/>
        <v>0</v>
      </c>
      <c r="P357">
        <v>1</v>
      </c>
      <c r="Q357">
        <f t="shared" si="33"/>
        <v>1.1858000488281249E-2</v>
      </c>
      <c r="S357">
        <v>0</v>
      </c>
      <c r="T357">
        <f t="shared" si="34"/>
        <v>0</v>
      </c>
      <c r="V357">
        <f>_xlfn.XLOOKUP(B357,[1]Sheet1!$B:$B,[1]Sheet1!$C:$C,0,0,1)</f>
        <v>0</v>
      </c>
      <c r="W357">
        <f t="shared" si="35"/>
        <v>0</v>
      </c>
    </row>
    <row r="358" spans="1:23" x14ac:dyDescent="0.2">
      <c r="A358">
        <v>79145</v>
      </c>
      <c r="B358" t="s">
        <v>654</v>
      </c>
      <c r="C358">
        <v>29819</v>
      </c>
      <c r="D358" t="s">
        <v>655</v>
      </c>
      <c r="E358" s="6">
        <v>230.69000244140625</v>
      </c>
      <c r="G358">
        <v>6</v>
      </c>
      <c r="H358">
        <f t="shared" si="30"/>
        <v>1.3841400146484375E-2</v>
      </c>
      <c r="J358">
        <v>0</v>
      </c>
      <c r="K358">
        <f t="shared" si="31"/>
        <v>0</v>
      </c>
      <c r="M358">
        <v>1</v>
      </c>
      <c r="N358">
        <f t="shared" si="32"/>
        <v>2.3069000244140625E-3</v>
      </c>
      <c r="P358">
        <v>3</v>
      </c>
      <c r="Q358">
        <f t="shared" si="33"/>
        <v>6.9207000732421876E-3</v>
      </c>
      <c r="S358">
        <v>0</v>
      </c>
      <c r="T358">
        <f t="shared" si="34"/>
        <v>0</v>
      </c>
      <c r="V358">
        <f>_xlfn.XLOOKUP(B358,[1]Sheet1!$B:$B,[1]Sheet1!$C:$C,0,0,1)</f>
        <v>0</v>
      </c>
      <c r="W358">
        <f t="shared" si="35"/>
        <v>0</v>
      </c>
    </row>
    <row r="359" spans="1:23" x14ac:dyDescent="0.2">
      <c r="A359">
        <v>79323</v>
      </c>
      <c r="B359" t="s">
        <v>656</v>
      </c>
      <c r="C359">
        <v>29870</v>
      </c>
      <c r="D359" t="s">
        <v>657</v>
      </c>
      <c r="E359" s="6">
        <v>192.78999328613281</v>
      </c>
      <c r="G359">
        <v>1</v>
      </c>
      <c r="H359">
        <f t="shared" si="30"/>
        <v>1.9278999328613282E-3</v>
      </c>
      <c r="J359">
        <v>0</v>
      </c>
      <c r="K359">
        <f t="shared" si="31"/>
        <v>0</v>
      </c>
      <c r="M359">
        <v>1</v>
      </c>
      <c r="N359">
        <f t="shared" si="32"/>
        <v>1.9278999328613282E-3</v>
      </c>
      <c r="P359">
        <v>0</v>
      </c>
      <c r="Q359">
        <f t="shared" si="33"/>
        <v>0</v>
      </c>
      <c r="S359">
        <v>0</v>
      </c>
      <c r="T359">
        <f t="shared" si="34"/>
        <v>0</v>
      </c>
      <c r="V359">
        <f>_xlfn.XLOOKUP(B359,[1]Sheet1!$B:$B,[1]Sheet1!$C:$C,0,0,1)</f>
        <v>0</v>
      </c>
      <c r="W359">
        <f t="shared" si="35"/>
        <v>0</v>
      </c>
    </row>
    <row r="360" spans="1:23" x14ac:dyDescent="0.2">
      <c r="A360">
        <v>79452</v>
      </c>
      <c r="B360" t="s">
        <v>658</v>
      </c>
      <c r="C360">
        <v>29911</v>
      </c>
      <c r="D360" t="s">
        <v>659</v>
      </c>
      <c r="E360" s="6">
        <v>116.04000091552734</v>
      </c>
      <c r="G360">
        <v>0</v>
      </c>
      <c r="H360">
        <f t="shared" si="30"/>
        <v>0</v>
      </c>
      <c r="J360">
        <v>2</v>
      </c>
      <c r="K360">
        <f t="shared" si="31"/>
        <v>2.3208000183105467E-3</v>
      </c>
      <c r="M360">
        <v>1</v>
      </c>
      <c r="N360">
        <f t="shared" si="32"/>
        <v>1.1604000091552733E-3</v>
      </c>
      <c r="P360">
        <v>0</v>
      </c>
      <c r="Q360">
        <f t="shared" si="33"/>
        <v>0</v>
      </c>
      <c r="S360">
        <v>0</v>
      </c>
      <c r="T360">
        <f t="shared" si="34"/>
        <v>0</v>
      </c>
      <c r="V360">
        <f>_xlfn.XLOOKUP(B360,[1]Sheet1!$B:$B,[1]Sheet1!$C:$C,0,0,1)</f>
        <v>0</v>
      </c>
      <c r="W360">
        <f t="shared" si="35"/>
        <v>0</v>
      </c>
    </row>
    <row r="361" spans="1:23" x14ac:dyDescent="0.2">
      <c r="A361">
        <v>79545</v>
      </c>
      <c r="B361" t="s">
        <v>660</v>
      </c>
      <c r="C361">
        <v>29936</v>
      </c>
      <c r="D361" t="s">
        <v>661</v>
      </c>
      <c r="E361" s="6">
        <v>31.790000915527344</v>
      </c>
      <c r="G361">
        <v>0</v>
      </c>
      <c r="H361">
        <f t="shared" si="30"/>
        <v>0</v>
      </c>
      <c r="J361">
        <v>0</v>
      </c>
      <c r="K361">
        <f t="shared" si="31"/>
        <v>0</v>
      </c>
      <c r="M361">
        <v>6</v>
      </c>
      <c r="N361">
        <f t="shared" si="32"/>
        <v>1.9074000549316407E-3</v>
      </c>
      <c r="P361">
        <v>0</v>
      </c>
      <c r="Q361">
        <f t="shared" si="33"/>
        <v>0</v>
      </c>
      <c r="S361">
        <v>10</v>
      </c>
      <c r="T361">
        <f t="shared" si="34"/>
        <v>3.1790000915527345E-3</v>
      </c>
      <c r="V361">
        <f>_xlfn.XLOOKUP(B361,[1]Sheet1!$B:$B,[1]Sheet1!$C:$C,0,0,1)</f>
        <v>0</v>
      </c>
      <c r="W361">
        <f t="shared" si="35"/>
        <v>0</v>
      </c>
    </row>
    <row r="362" spans="1:23" x14ac:dyDescent="0.2">
      <c r="A362">
        <v>79547</v>
      </c>
      <c r="B362" t="s">
        <v>662</v>
      </c>
      <c r="C362">
        <v>29940</v>
      </c>
      <c r="D362" t="s">
        <v>663</v>
      </c>
      <c r="E362" s="6">
        <v>71.760002136230469</v>
      </c>
      <c r="G362">
        <v>1</v>
      </c>
      <c r="H362">
        <f t="shared" si="30"/>
        <v>7.1760002136230471E-4</v>
      </c>
      <c r="J362">
        <v>0</v>
      </c>
      <c r="K362">
        <f t="shared" si="31"/>
        <v>0</v>
      </c>
      <c r="M362">
        <v>2</v>
      </c>
      <c r="N362">
        <f t="shared" si="32"/>
        <v>1.4352000427246094E-3</v>
      </c>
      <c r="P362">
        <v>0</v>
      </c>
      <c r="Q362">
        <f t="shared" si="33"/>
        <v>0</v>
      </c>
      <c r="S362">
        <v>0</v>
      </c>
      <c r="T362">
        <f t="shared" si="34"/>
        <v>0</v>
      </c>
      <c r="V362">
        <f>_xlfn.XLOOKUP(B362,[1]Sheet1!$B:$B,[1]Sheet1!$C:$C,0,0,1)</f>
        <v>0</v>
      </c>
      <c r="W362">
        <f t="shared" si="35"/>
        <v>0</v>
      </c>
    </row>
    <row r="363" spans="1:23" x14ac:dyDescent="0.2">
      <c r="A363">
        <v>79637</v>
      </c>
      <c r="B363" t="s">
        <v>664</v>
      </c>
      <c r="C363">
        <v>4655</v>
      </c>
      <c r="D363" t="s">
        <v>665</v>
      </c>
      <c r="E363" s="6">
        <v>179.41999816894531</v>
      </c>
      <c r="G363">
        <v>1</v>
      </c>
      <c r="H363">
        <f t="shared" si="30"/>
        <v>1.794199981689453E-3</v>
      </c>
      <c r="J363">
        <v>0</v>
      </c>
      <c r="K363">
        <f t="shared" si="31"/>
        <v>0</v>
      </c>
      <c r="M363">
        <v>1</v>
      </c>
      <c r="N363">
        <f t="shared" si="32"/>
        <v>1.794199981689453E-3</v>
      </c>
      <c r="P363">
        <v>0</v>
      </c>
      <c r="Q363">
        <f t="shared" si="33"/>
        <v>0</v>
      </c>
      <c r="S363">
        <v>1</v>
      </c>
      <c r="T363">
        <f t="shared" si="34"/>
        <v>1.794199981689453E-3</v>
      </c>
      <c r="V363">
        <f>_xlfn.XLOOKUP(B363,[1]Sheet1!$B:$B,[1]Sheet1!$C:$C,0,0,1)</f>
        <v>0</v>
      </c>
      <c r="W363">
        <f t="shared" si="35"/>
        <v>0</v>
      </c>
    </row>
    <row r="364" spans="1:23" x14ac:dyDescent="0.2">
      <c r="A364">
        <v>79686</v>
      </c>
      <c r="B364" t="s">
        <v>1040</v>
      </c>
      <c r="C364">
        <v>12484</v>
      </c>
      <c r="D364" t="s">
        <v>1041</v>
      </c>
      <c r="E364" s="6">
        <v>203.08999633789062</v>
      </c>
      <c r="G364">
        <v>4</v>
      </c>
      <c r="H364">
        <f t="shared" si="30"/>
        <v>8.1235998535156249E-3</v>
      </c>
      <c r="J364">
        <v>2</v>
      </c>
      <c r="K364">
        <f t="shared" si="31"/>
        <v>4.0617999267578125E-3</v>
      </c>
      <c r="M364">
        <v>0</v>
      </c>
      <c r="N364">
        <f t="shared" si="32"/>
        <v>0</v>
      </c>
      <c r="P364">
        <v>0</v>
      </c>
      <c r="Q364">
        <f t="shared" si="33"/>
        <v>0</v>
      </c>
      <c r="S364">
        <v>2</v>
      </c>
      <c r="T364">
        <f t="shared" si="34"/>
        <v>4.0617999267578125E-3</v>
      </c>
      <c r="V364">
        <f>_xlfn.XLOOKUP(B364,[1]Sheet1!$B:$B,[1]Sheet1!$C:$C,0,0,1)</f>
        <v>0</v>
      </c>
      <c r="W364">
        <f t="shared" si="35"/>
        <v>0</v>
      </c>
    </row>
    <row r="365" spans="1:23" x14ac:dyDescent="0.2">
      <c r="A365">
        <v>79698</v>
      </c>
      <c r="B365" t="s">
        <v>666</v>
      </c>
      <c r="C365">
        <v>12457</v>
      </c>
      <c r="D365" t="s">
        <v>667</v>
      </c>
      <c r="E365" s="6">
        <v>484.47000122070312</v>
      </c>
      <c r="G365">
        <v>0</v>
      </c>
      <c r="H365">
        <f t="shared" si="30"/>
        <v>0</v>
      </c>
      <c r="J365">
        <v>0</v>
      </c>
      <c r="K365">
        <f t="shared" si="31"/>
        <v>0</v>
      </c>
      <c r="M365">
        <v>0</v>
      </c>
      <c r="N365">
        <f t="shared" si="32"/>
        <v>0</v>
      </c>
      <c r="P365">
        <v>0</v>
      </c>
      <c r="Q365">
        <f t="shared" si="33"/>
        <v>0</v>
      </c>
      <c r="S365">
        <v>0</v>
      </c>
      <c r="T365">
        <f t="shared" si="34"/>
        <v>0</v>
      </c>
      <c r="V365">
        <f>_xlfn.XLOOKUP(B365,[1]Sheet1!$B:$B,[1]Sheet1!$C:$C,0,0,1)</f>
        <v>0</v>
      </c>
      <c r="W365">
        <f t="shared" si="35"/>
        <v>0</v>
      </c>
    </row>
    <row r="366" spans="1:23" x14ac:dyDescent="0.2">
      <c r="A366">
        <v>79782</v>
      </c>
      <c r="B366" t="s">
        <v>668</v>
      </c>
      <c r="C366">
        <v>30011</v>
      </c>
      <c r="D366" t="s">
        <v>669</v>
      </c>
      <c r="E366" s="6">
        <v>73.930000305175781</v>
      </c>
      <c r="G366">
        <v>1</v>
      </c>
      <c r="H366">
        <f t="shared" si="30"/>
        <v>7.3930000305175777E-4</v>
      </c>
      <c r="J366">
        <v>0</v>
      </c>
      <c r="K366">
        <f t="shared" si="31"/>
        <v>0</v>
      </c>
      <c r="M366">
        <v>3</v>
      </c>
      <c r="N366">
        <f t="shared" si="32"/>
        <v>2.2179000091552734E-3</v>
      </c>
      <c r="P366">
        <v>17</v>
      </c>
      <c r="Q366">
        <f t="shared" si="33"/>
        <v>1.2568100051879883E-2</v>
      </c>
      <c r="S366">
        <v>0</v>
      </c>
      <c r="T366">
        <f t="shared" si="34"/>
        <v>0</v>
      </c>
      <c r="V366">
        <f>_xlfn.XLOOKUP(B366,[1]Sheet1!$B:$B,[1]Sheet1!$C:$C,0,0,1)</f>
        <v>0</v>
      </c>
      <c r="W366">
        <f t="shared" si="35"/>
        <v>0</v>
      </c>
    </row>
    <row r="367" spans="1:23" x14ac:dyDescent="0.2">
      <c r="A367">
        <v>79785</v>
      </c>
      <c r="B367" t="s">
        <v>670</v>
      </c>
      <c r="C367">
        <v>21242</v>
      </c>
      <c r="D367" t="s">
        <v>671</v>
      </c>
      <c r="E367" s="6">
        <v>8178.89990234375</v>
      </c>
      <c r="G367">
        <v>0</v>
      </c>
      <c r="H367">
        <f t="shared" si="30"/>
        <v>0</v>
      </c>
      <c r="J367">
        <v>0</v>
      </c>
      <c r="K367">
        <f t="shared" si="31"/>
        <v>0</v>
      </c>
      <c r="M367">
        <v>0</v>
      </c>
      <c r="N367">
        <f t="shared" si="32"/>
        <v>0</v>
      </c>
      <c r="P367">
        <v>0</v>
      </c>
      <c r="Q367">
        <f t="shared" si="33"/>
        <v>0</v>
      </c>
      <c r="S367">
        <v>0</v>
      </c>
      <c r="T367">
        <f t="shared" si="34"/>
        <v>0</v>
      </c>
      <c r="V367">
        <f>_xlfn.XLOOKUP(B367,[1]Sheet1!$B:$B,[1]Sheet1!$C:$C,0,0,1)</f>
        <v>0</v>
      </c>
      <c r="W367">
        <f t="shared" si="35"/>
        <v>0</v>
      </c>
    </row>
    <row r="368" spans="1:23" x14ac:dyDescent="0.2">
      <c r="A368">
        <v>79906</v>
      </c>
      <c r="B368" t="s">
        <v>672</v>
      </c>
      <c r="C368">
        <v>30033</v>
      </c>
      <c r="D368" t="s">
        <v>673</v>
      </c>
      <c r="E368" s="6">
        <v>69.069999694824219</v>
      </c>
      <c r="G368">
        <v>0</v>
      </c>
      <c r="H368">
        <f t="shared" si="30"/>
        <v>0</v>
      </c>
      <c r="J368">
        <v>9</v>
      </c>
      <c r="K368">
        <f t="shared" si="31"/>
        <v>6.2162999725341797E-3</v>
      </c>
      <c r="M368">
        <v>1</v>
      </c>
      <c r="N368">
        <f t="shared" si="32"/>
        <v>6.9069999694824219E-4</v>
      </c>
      <c r="P368">
        <v>0</v>
      </c>
      <c r="Q368">
        <f t="shared" si="33"/>
        <v>0</v>
      </c>
      <c r="S368">
        <v>2</v>
      </c>
      <c r="T368">
        <f t="shared" si="34"/>
        <v>1.3813999938964844E-3</v>
      </c>
      <c r="V368">
        <f>_xlfn.XLOOKUP(B368,[1]Sheet1!$B:$B,[1]Sheet1!$C:$C,0,0,1)</f>
        <v>0</v>
      </c>
      <c r="W368">
        <f t="shared" si="35"/>
        <v>0</v>
      </c>
    </row>
    <row r="369" spans="1:23" x14ac:dyDescent="0.2">
      <c r="A369">
        <v>80080</v>
      </c>
      <c r="B369" t="s">
        <v>674</v>
      </c>
      <c r="C369">
        <v>30070</v>
      </c>
      <c r="D369" t="s">
        <v>675</v>
      </c>
      <c r="E369" s="6">
        <v>91.319999694824219</v>
      </c>
      <c r="G369">
        <v>1</v>
      </c>
      <c r="H369">
        <f t="shared" si="30"/>
        <v>9.1319999694824223E-4</v>
      </c>
      <c r="J369">
        <v>0</v>
      </c>
      <c r="K369">
        <f t="shared" si="31"/>
        <v>0</v>
      </c>
      <c r="M369">
        <v>3</v>
      </c>
      <c r="N369">
        <f t="shared" si="32"/>
        <v>2.7395999908447267E-3</v>
      </c>
      <c r="P369">
        <v>0</v>
      </c>
      <c r="Q369">
        <f t="shared" si="33"/>
        <v>0</v>
      </c>
      <c r="S369">
        <v>0</v>
      </c>
      <c r="T369">
        <f t="shared" si="34"/>
        <v>0</v>
      </c>
      <c r="V369">
        <f>_xlfn.XLOOKUP(B369,[1]Sheet1!$B:$B,[1]Sheet1!$C:$C,0,0,1)</f>
        <v>0</v>
      </c>
      <c r="W369">
        <f t="shared" si="35"/>
        <v>0</v>
      </c>
    </row>
    <row r="370" spans="1:23" x14ac:dyDescent="0.2">
      <c r="A370">
        <v>80100</v>
      </c>
      <c r="B370" t="s">
        <v>676</v>
      </c>
      <c r="C370">
        <v>30086</v>
      </c>
      <c r="D370" t="s">
        <v>677</v>
      </c>
      <c r="E370" s="6">
        <v>172.21000671386719</v>
      </c>
      <c r="G370">
        <v>1</v>
      </c>
      <c r="H370">
        <f t="shared" si="30"/>
        <v>1.7221000671386719E-3</v>
      </c>
      <c r="J370">
        <v>0</v>
      </c>
      <c r="K370">
        <f t="shared" si="31"/>
        <v>0</v>
      </c>
      <c r="M370">
        <v>1</v>
      </c>
      <c r="N370">
        <f t="shared" si="32"/>
        <v>1.7221000671386719E-3</v>
      </c>
      <c r="P370">
        <v>6</v>
      </c>
      <c r="Q370">
        <f t="shared" si="33"/>
        <v>1.0332600402832031E-2</v>
      </c>
      <c r="S370">
        <v>0</v>
      </c>
      <c r="T370">
        <f t="shared" si="34"/>
        <v>0</v>
      </c>
      <c r="V370">
        <f>_xlfn.XLOOKUP(B370,[1]Sheet1!$B:$B,[1]Sheet1!$C:$C,0,0,1)</f>
        <v>0</v>
      </c>
      <c r="W370">
        <f t="shared" si="35"/>
        <v>0</v>
      </c>
    </row>
    <row r="371" spans="1:23" x14ac:dyDescent="0.2">
      <c r="A371">
        <v>80183</v>
      </c>
      <c r="B371" t="s">
        <v>678</v>
      </c>
      <c r="C371">
        <v>30104</v>
      </c>
      <c r="D371" t="s">
        <v>679</v>
      </c>
      <c r="E371" s="6">
        <v>154.57000732421875</v>
      </c>
      <c r="G371">
        <v>0</v>
      </c>
      <c r="H371">
        <f t="shared" si="30"/>
        <v>0</v>
      </c>
      <c r="J371">
        <v>7</v>
      </c>
      <c r="K371">
        <f t="shared" si="31"/>
        <v>1.0819900512695312E-2</v>
      </c>
      <c r="M371">
        <v>1</v>
      </c>
      <c r="N371">
        <f t="shared" si="32"/>
        <v>1.5457000732421876E-3</v>
      </c>
      <c r="P371">
        <v>0</v>
      </c>
      <c r="Q371">
        <f t="shared" si="33"/>
        <v>0</v>
      </c>
      <c r="S371">
        <v>6</v>
      </c>
      <c r="T371">
        <f t="shared" si="34"/>
        <v>9.2742004394531247E-3</v>
      </c>
      <c r="V371">
        <f>_xlfn.XLOOKUP(B371,[1]Sheet1!$B:$B,[1]Sheet1!$C:$C,0,0,1)</f>
        <v>0</v>
      </c>
      <c r="W371">
        <f t="shared" si="35"/>
        <v>0</v>
      </c>
    </row>
    <row r="372" spans="1:23" x14ac:dyDescent="0.2">
      <c r="A372">
        <v>80191</v>
      </c>
      <c r="B372" t="s">
        <v>680</v>
      </c>
      <c r="C372">
        <v>30249</v>
      </c>
      <c r="D372" t="s">
        <v>681</v>
      </c>
      <c r="E372" s="6">
        <v>86.080001831054688</v>
      </c>
      <c r="G372">
        <v>0</v>
      </c>
      <c r="H372">
        <f t="shared" si="30"/>
        <v>0</v>
      </c>
      <c r="J372">
        <v>7</v>
      </c>
      <c r="K372">
        <f t="shared" si="31"/>
        <v>6.0256001281738282E-3</v>
      </c>
      <c r="M372">
        <v>1</v>
      </c>
      <c r="N372">
        <f t="shared" si="32"/>
        <v>8.6080001831054687E-4</v>
      </c>
      <c r="P372">
        <v>0</v>
      </c>
      <c r="Q372">
        <f t="shared" si="33"/>
        <v>0</v>
      </c>
      <c r="S372">
        <v>6</v>
      </c>
      <c r="T372">
        <f t="shared" si="34"/>
        <v>5.1648001098632814E-3</v>
      </c>
      <c r="V372">
        <f>_xlfn.XLOOKUP(B372,[1]Sheet1!$B:$B,[1]Sheet1!$C:$C,0,0,1)</f>
        <v>0</v>
      </c>
      <c r="W372">
        <f t="shared" si="35"/>
        <v>0</v>
      </c>
    </row>
    <row r="373" spans="1:23" x14ac:dyDescent="0.2">
      <c r="A373">
        <v>80204</v>
      </c>
      <c r="B373" t="s">
        <v>682</v>
      </c>
      <c r="C373">
        <v>30260</v>
      </c>
      <c r="D373" t="s">
        <v>683</v>
      </c>
      <c r="E373" s="6">
        <v>516.5</v>
      </c>
      <c r="G373">
        <v>0</v>
      </c>
      <c r="H373">
        <f t="shared" si="30"/>
        <v>0</v>
      </c>
      <c r="J373">
        <v>0</v>
      </c>
      <c r="K373">
        <f t="shared" si="31"/>
        <v>0</v>
      </c>
      <c r="M373">
        <v>0</v>
      </c>
      <c r="N373">
        <f t="shared" si="32"/>
        <v>0</v>
      </c>
      <c r="P373">
        <v>0</v>
      </c>
      <c r="Q373">
        <f t="shared" si="33"/>
        <v>0</v>
      </c>
      <c r="S373">
        <v>0</v>
      </c>
      <c r="T373">
        <f t="shared" si="34"/>
        <v>0</v>
      </c>
      <c r="V373">
        <f>_xlfn.XLOOKUP(B373,[1]Sheet1!$B:$B,[1]Sheet1!$C:$C,0,0,1)</f>
        <v>0</v>
      </c>
      <c r="W373">
        <f t="shared" si="35"/>
        <v>0</v>
      </c>
    </row>
    <row r="374" spans="1:23" x14ac:dyDescent="0.2">
      <c r="A374">
        <v>80286</v>
      </c>
      <c r="B374" t="s">
        <v>684</v>
      </c>
      <c r="C374">
        <v>12863</v>
      </c>
      <c r="D374" t="s">
        <v>685</v>
      </c>
      <c r="E374" s="6">
        <v>53.060001373291016</v>
      </c>
      <c r="G374">
        <v>1</v>
      </c>
      <c r="H374">
        <f t="shared" si="30"/>
        <v>5.306000137329102E-4</v>
      </c>
      <c r="J374">
        <v>0</v>
      </c>
      <c r="K374">
        <f t="shared" si="31"/>
        <v>0</v>
      </c>
      <c r="M374">
        <v>4</v>
      </c>
      <c r="N374">
        <f t="shared" si="32"/>
        <v>2.1224000549316408E-3</v>
      </c>
      <c r="P374">
        <v>0</v>
      </c>
      <c r="Q374">
        <f t="shared" si="33"/>
        <v>0</v>
      </c>
      <c r="S374">
        <v>4</v>
      </c>
      <c r="T374">
        <f t="shared" si="34"/>
        <v>2.1224000549316408E-3</v>
      </c>
      <c r="V374">
        <f>_xlfn.XLOOKUP(B374,[1]Sheet1!$B:$B,[1]Sheet1!$C:$C,0,0,1)</f>
        <v>0</v>
      </c>
      <c r="W374">
        <f t="shared" si="35"/>
        <v>0</v>
      </c>
    </row>
    <row r="375" spans="1:23" x14ac:dyDescent="0.2">
      <c r="A375">
        <v>80320</v>
      </c>
      <c r="B375" t="s">
        <v>686</v>
      </c>
      <c r="C375">
        <v>12926</v>
      </c>
      <c r="D375" t="s">
        <v>687</v>
      </c>
      <c r="E375" s="6">
        <v>57.389999389648438</v>
      </c>
      <c r="G375">
        <v>6</v>
      </c>
      <c r="H375">
        <f t="shared" si="30"/>
        <v>3.4433999633789064E-3</v>
      </c>
      <c r="J375">
        <v>10</v>
      </c>
      <c r="K375">
        <f t="shared" si="31"/>
        <v>5.7389999389648441E-3</v>
      </c>
      <c r="M375">
        <v>2</v>
      </c>
      <c r="N375">
        <f t="shared" si="32"/>
        <v>1.1477999877929686E-3</v>
      </c>
      <c r="P375">
        <v>0</v>
      </c>
      <c r="Q375">
        <f t="shared" si="33"/>
        <v>0</v>
      </c>
      <c r="S375">
        <v>10</v>
      </c>
      <c r="T375">
        <f t="shared" si="34"/>
        <v>5.7389999389648441E-3</v>
      </c>
      <c r="V375">
        <f>_xlfn.XLOOKUP(B375,[1]Sheet1!$B:$B,[1]Sheet1!$C:$C,0,0,1)</f>
        <v>0</v>
      </c>
      <c r="W375">
        <f t="shared" si="35"/>
        <v>0</v>
      </c>
    </row>
    <row r="376" spans="1:23" x14ac:dyDescent="0.2">
      <c r="A376">
        <v>80381</v>
      </c>
      <c r="B376" t="s">
        <v>688</v>
      </c>
      <c r="C376">
        <v>30345</v>
      </c>
      <c r="D376" t="s">
        <v>689</v>
      </c>
      <c r="E376" s="6">
        <v>219.97000122070312</v>
      </c>
      <c r="G376">
        <v>1</v>
      </c>
      <c r="H376">
        <f t="shared" si="30"/>
        <v>2.1997000122070311E-3</v>
      </c>
      <c r="J376">
        <v>0</v>
      </c>
      <c r="K376">
        <f t="shared" si="31"/>
        <v>0</v>
      </c>
      <c r="M376">
        <v>1</v>
      </c>
      <c r="N376">
        <f t="shared" si="32"/>
        <v>2.1997000122070311E-3</v>
      </c>
      <c r="P376">
        <v>0</v>
      </c>
      <c r="Q376">
        <f t="shared" si="33"/>
        <v>0</v>
      </c>
      <c r="S376">
        <v>0</v>
      </c>
      <c r="T376">
        <f t="shared" si="34"/>
        <v>0</v>
      </c>
      <c r="V376">
        <f>_xlfn.XLOOKUP(B376,[1]Sheet1!$B:$B,[1]Sheet1!$C:$C,0,0,1)</f>
        <v>0</v>
      </c>
      <c r="W376">
        <f t="shared" si="35"/>
        <v>0</v>
      </c>
    </row>
    <row r="377" spans="1:23" x14ac:dyDescent="0.2">
      <c r="A377">
        <v>80681</v>
      </c>
      <c r="B377" t="s">
        <v>690</v>
      </c>
      <c r="C377">
        <v>30421</v>
      </c>
      <c r="D377" t="s">
        <v>691</v>
      </c>
      <c r="E377" s="6">
        <v>285.44000244140625</v>
      </c>
      <c r="G377">
        <v>0</v>
      </c>
      <c r="H377">
        <f t="shared" si="30"/>
        <v>0</v>
      </c>
      <c r="J377">
        <v>0</v>
      </c>
      <c r="K377">
        <f t="shared" si="31"/>
        <v>0</v>
      </c>
      <c r="M377">
        <v>1</v>
      </c>
      <c r="N377">
        <f t="shared" si="32"/>
        <v>2.8544000244140623E-3</v>
      </c>
      <c r="P377">
        <v>0</v>
      </c>
      <c r="Q377">
        <f t="shared" si="33"/>
        <v>0</v>
      </c>
      <c r="S377">
        <v>0</v>
      </c>
      <c r="T377">
        <f t="shared" si="34"/>
        <v>0</v>
      </c>
      <c r="V377">
        <f>_xlfn.XLOOKUP(B377,[1]Sheet1!$B:$B,[1]Sheet1!$C:$C,0,0,1)</f>
        <v>0</v>
      </c>
      <c r="W377">
        <f t="shared" si="35"/>
        <v>0</v>
      </c>
    </row>
    <row r="378" spans="1:23" x14ac:dyDescent="0.2">
      <c r="A378">
        <v>81045</v>
      </c>
      <c r="B378" t="s">
        <v>692</v>
      </c>
      <c r="C378">
        <v>30500</v>
      </c>
      <c r="D378" t="s">
        <v>693</v>
      </c>
      <c r="E378" s="6">
        <v>53.409999847412109</v>
      </c>
      <c r="G378">
        <v>0</v>
      </c>
      <c r="H378">
        <f t="shared" si="30"/>
        <v>0</v>
      </c>
      <c r="J378">
        <v>2</v>
      </c>
      <c r="K378">
        <f t="shared" si="31"/>
        <v>1.0681999969482422E-3</v>
      </c>
      <c r="M378">
        <v>3</v>
      </c>
      <c r="N378">
        <f t="shared" si="32"/>
        <v>1.6022999954223632E-3</v>
      </c>
      <c r="P378">
        <v>0</v>
      </c>
      <c r="Q378">
        <f t="shared" si="33"/>
        <v>0</v>
      </c>
      <c r="S378">
        <v>0</v>
      </c>
      <c r="T378">
        <f t="shared" si="34"/>
        <v>0</v>
      </c>
      <c r="V378">
        <f>_xlfn.XLOOKUP(B378,[1]Sheet1!$B:$B,[1]Sheet1!$C:$C,0,0,1)</f>
        <v>0</v>
      </c>
      <c r="W378">
        <f t="shared" si="35"/>
        <v>0</v>
      </c>
    </row>
    <row r="379" spans="1:23" x14ac:dyDescent="0.2">
      <c r="A379">
        <v>81055</v>
      </c>
      <c r="B379" t="s">
        <v>694</v>
      </c>
      <c r="C379">
        <v>30513</v>
      </c>
      <c r="D379" t="s">
        <v>695</v>
      </c>
      <c r="E379" s="6">
        <v>178.32000732421875</v>
      </c>
      <c r="G379">
        <v>2</v>
      </c>
      <c r="H379">
        <f t="shared" si="30"/>
        <v>3.5664001464843749E-3</v>
      </c>
      <c r="J379">
        <v>2</v>
      </c>
      <c r="K379">
        <f t="shared" si="31"/>
        <v>3.5664001464843749E-3</v>
      </c>
      <c r="M379">
        <v>1</v>
      </c>
      <c r="N379">
        <f t="shared" si="32"/>
        <v>1.7832000732421875E-3</v>
      </c>
      <c r="P379">
        <v>5</v>
      </c>
      <c r="Q379">
        <f t="shared" si="33"/>
        <v>8.9160003662109369E-3</v>
      </c>
      <c r="S379">
        <v>1</v>
      </c>
      <c r="T379">
        <f t="shared" si="34"/>
        <v>1.7832000732421875E-3</v>
      </c>
      <c r="V379">
        <f>_xlfn.XLOOKUP(B379,[1]Sheet1!$B:$B,[1]Sheet1!$C:$C,0,0,1)</f>
        <v>0</v>
      </c>
      <c r="W379">
        <f t="shared" si="35"/>
        <v>0</v>
      </c>
    </row>
    <row r="380" spans="1:23" x14ac:dyDescent="0.2">
      <c r="A380">
        <v>81061</v>
      </c>
      <c r="B380" t="s">
        <v>696</v>
      </c>
      <c r="C380">
        <v>30521</v>
      </c>
      <c r="D380" t="s">
        <v>697</v>
      </c>
      <c r="E380" s="6">
        <v>569.90997314453125</v>
      </c>
      <c r="G380">
        <v>0</v>
      </c>
      <c r="H380">
        <f t="shared" si="30"/>
        <v>0</v>
      </c>
      <c r="J380">
        <v>0</v>
      </c>
      <c r="K380">
        <f t="shared" si="31"/>
        <v>0</v>
      </c>
      <c r="M380">
        <v>0</v>
      </c>
      <c r="N380">
        <f t="shared" si="32"/>
        <v>0</v>
      </c>
      <c r="P380">
        <v>0</v>
      </c>
      <c r="Q380">
        <f t="shared" si="33"/>
        <v>0</v>
      </c>
      <c r="S380">
        <v>0</v>
      </c>
      <c r="T380">
        <f t="shared" si="34"/>
        <v>0</v>
      </c>
      <c r="V380">
        <f>_xlfn.XLOOKUP(B380,[1]Sheet1!$B:$B,[1]Sheet1!$C:$C,0,0,1)</f>
        <v>0</v>
      </c>
      <c r="W380">
        <f t="shared" si="35"/>
        <v>0</v>
      </c>
    </row>
    <row r="381" spans="1:23" x14ac:dyDescent="0.2">
      <c r="A381">
        <v>81481</v>
      </c>
      <c r="B381" t="s">
        <v>698</v>
      </c>
      <c r="C381">
        <v>13603</v>
      </c>
      <c r="D381" t="s">
        <v>699</v>
      </c>
      <c r="E381" s="6">
        <v>74.94000244140625</v>
      </c>
      <c r="G381">
        <v>0</v>
      </c>
      <c r="H381">
        <f t="shared" si="30"/>
        <v>0</v>
      </c>
      <c r="J381">
        <v>8</v>
      </c>
      <c r="K381">
        <f t="shared" si="31"/>
        <v>5.9952001953124997E-3</v>
      </c>
      <c r="M381">
        <v>2</v>
      </c>
      <c r="N381">
        <f t="shared" si="32"/>
        <v>1.4988000488281249E-3</v>
      </c>
      <c r="P381">
        <v>0</v>
      </c>
      <c r="Q381">
        <f t="shared" si="33"/>
        <v>0</v>
      </c>
      <c r="S381">
        <v>9</v>
      </c>
      <c r="T381">
        <f t="shared" si="34"/>
        <v>6.7446002197265624E-3</v>
      </c>
      <c r="V381">
        <f>_xlfn.XLOOKUP(B381,[1]Sheet1!$B:$B,[1]Sheet1!$C:$C,0,0,1)</f>
        <v>0</v>
      </c>
      <c r="W381">
        <f t="shared" si="35"/>
        <v>0</v>
      </c>
    </row>
    <row r="382" spans="1:23" x14ac:dyDescent="0.2">
      <c r="A382">
        <v>81540</v>
      </c>
      <c r="B382" t="s">
        <v>700</v>
      </c>
      <c r="C382">
        <v>13650</v>
      </c>
      <c r="D382" t="s">
        <v>701</v>
      </c>
      <c r="E382" s="6">
        <v>224.67999267578125</v>
      </c>
      <c r="G382">
        <v>1</v>
      </c>
      <c r="H382">
        <f t="shared" si="30"/>
        <v>2.2467999267578127E-3</v>
      </c>
      <c r="J382">
        <v>0</v>
      </c>
      <c r="K382">
        <f t="shared" si="31"/>
        <v>0</v>
      </c>
      <c r="M382">
        <v>0</v>
      </c>
      <c r="N382">
        <f t="shared" si="32"/>
        <v>0</v>
      </c>
      <c r="P382">
        <v>0</v>
      </c>
      <c r="Q382">
        <f t="shared" si="33"/>
        <v>0</v>
      </c>
      <c r="S382">
        <v>0</v>
      </c>
      <c r="T382">
        <f t="shared" si="34"/>
        <v>0</v>
      </c>
      <c r="V382">
        <f>_xlfn.XLOOKUP(B382,[1]Sheet1!$B:$B,[1]Sheet1!$C:$C,0,0,1)</f>
        <v>0</v>
      </c>
      <c r="W382">
        <f t="shared" si="35"/>
        <v>0</v>
      </c>
    </row>
    <row r="383" spans="1:23" x14ac:dyDescent="0.2">
      <c r="A383">
        <v>81593</v>
      </c>
      <c r="B383" t="s">
        <v>702</v>
      </c>
      <c r="C383">
        <v>5849</v>
      </c>
      <c r="D383" t="s">
        <v>703</v>
      </c>
      <c r="E383" s="6">
        <v>96.010002136230469</v>
      </c>
      <c r="G383">
        <v>6</v>
      </c>
      <c r="H383">
        <f t="shared" si="30"/>
        <v>5.7606001281738277E-3</v>
      </c>
      <c r="J383">
        <v>1</v>
      </c>
      <c r="K383">
        <f t="shared" si="31"/>
        <v>9.6010002136230469E-4</v>
      </c>
      <c r="M383">
        <v>0</v>
      </c>
      <c r="N383">
        <f t="shared" si="32"/>
        <v>0</v>
      </c>
      <c r="P383">
        <v>11</v>
      </c>
      <c r="Q383">
        <f t="shared" si="33"/>
        <v>1.0561100234985351E-2</v>
      </c>
      <c r="S383">
        <v>5</v>
      </c>
      <c r="T383">
        <f t="shared" si="34"/>
        <v>4.8005001068115232E-3</v>
      </c>
      <c r="V383">
        <f>_xlfn.XLOOKUP(B383,[1]Sheet1!$B:$B,[1]Sheet1!$C:$C,0,0,1)</f>
        <v>0</v>
      </c>
      <c r="W383">
        <f t="shared" si="35"/>
        <v>0</v>
      </c>
    </row>
    <row r="384" spans="1:23" x14ac:dyDescent="0.2">
      <c r="A384">
        <v>81655</v>
      </c>
      <c r="B384" t="s">
        <v>704</v>
      </c>
      <c r="C384">
        <v>30886</v>
      </c>
      <c r="D384" t="s">
        <v>705</v>
      </c>
      <c r="E384" s="6">
        <v>186.69000244140625</v>
      </c>
      <c r="G384">
        <v>1</v>
      </c>
      <c r="H384">
        <f t="shared" si="30"/>
        <v>1.8669000244140625E-3</v>
      </c>
      <c r="J384">
        <v>0</v>
      </c>
      <c r="K384">
        <f t="shared" si="31"/>
        <v>0</v>
      </c>
      <c r="M384">
        <v>1</v>
      </c>
      <c r="N384">
        <f t="shared" si="32"/>
        <v>1.8669000244140625E-3</v>
      </c>
      <c r="P384">
        <v>6</v>
      </c>
      <c r="Q384">
        <f t="shared" si="33"/>
        <v>1.1201400146484375E-2</v>
      </c>
      <c r="S384">
        <v>0</v>
      </c>
      <c r="T384">
        <f t="shared" si="34"/>
        <v>0</v>
      </c>
      <c r="V384">
        <f>_xlfn.XLOOKUP(B384,[1]Sheet1!$B:$B,[1]Sheet1!$C:$C,0,0,1)</f>
        <v>0</v>
      </c>
      <c r="W384">
        <f t="shared" si="35"/>
        <v>0</v>
      </c>
    </row>
    <row r="385" spans="1:23" x14ac:dyDescent="0.2">
      <c r="A385">
        <v>81677</v>
      </c>
      <c r="B385" t="s">
        <v>706</v>
      </c>
      <c r="C385">
        <v>30913</v>
      </c>
      <c r="D385" t="s">
        <v>707</v>
      </c>
      <c r="E385" s="6">
        <v>189.58999633789062</v>
      </c>
      <c r="G385">
        <v>2</v>
      </c>
      <c r="H385">
        <f t="shared" si="30"/>
        <v>3.7917999267578126E-3</v>
      </c>
      <c r="J385">
        <v>0</v>
      </c>
      <c r="K385">
        <f t="shared" si="31"/>
        <v>0</v>
      </c>
      <c r="M385">
        <v>1</v>
      </c>
      <c r="N385">
        <f t="shared" si="32"/>
        <v>1.8958999633789063E-3</v>
      </c>
      <c r="P385">
        <v>6</v>
      </c>
      <c r="Q385">
        <f t="shared" si="33"/>
        <v>1.1375399780273437E-2</v>
      </c>
      <c r="S385">
        <v>0</v>
      </c>
      <c r="T385">
        <f t="shared" si="34"/>
        <v>0</v>
      </c>
      <c r="V385">
        <f>_xlfn.XLOOKUP(B385,[1]Sheet1!$B:$B,[1]Sheet1!$C:$C,0,0,1)</f>
        <v>0</v>
      </c>
      <c r="W385">
        <f t="shared" si="35"/>
        <v>0</v>
      </c>
    </row>
    <row r="386" spans="1:23" x14ac:dyDescent="0.2">
      <c r="A386">
        <v>81736</v>
      </c>
      <c r="B386" t="s">
        <v>708</v>
      </c>
      <c r="C386">
        <v>13753</v>
      </c>
      <c r="D386" t="s">
        <v>709</v>
      </c>
      <c r="E386" s="6">
        <v>228.69000244140625</v>
      </c>
      <c r="G386">
        <v>0</v>
      </c>
      <c r="H386">
        <f t="shared" si="30"/>
        <v>0</v>
      </c>
      <c r="J386">
        <v>0</v>
      </c>
      <c r="K386">
        <f t="shared" si="31"/>
        <v>0</v>
      </c>
      <c r="M386">
        <v>0</v>
      </c>
      <c r="N386">
        <f t="shared" si="32"/>
        <v>0</v>
      </c>
      <c r="P386">
        <v>0</v>
      </c>
      <c r="Q386">
        <f t="shared" si="33"/>
        <v>0</v>
      </c>
      <c r="S386">
        <v>0</v>
      </c>
      <c r="T386">
        <f t="shared" si="34"/>
        <v>0</v>
      </c>
      <c r="V386">
        <f>_xlfn.XLOOKUP(B386,[1]Sheet1!$B:$B,[1]Sheet1!$C:$C,0,0,1)</f>
        <v>0</v>
      </c>
      <c r="W386">
        <f t="shared" si="35"/>
        <v>0</v>
      </c>
    </row>
    <row r="387" spans="1:23" x14ac:dyDescent="0.2">
      <c r="A387">
        <v>81774</v>
      </c>
      <c r="B387" t="s">
        <v>710</v>
      </c>
      <c r="C387">
        <v>20763</v>
      </c>
      <c r="D387" t="s">
        <v>711</v>
      </c>
      <c r="E387" s="6">
        <v>38.080001831054688</v>
      </c>
      <c r="G387">
        <v>0</v>
      </c>
      <c r="H387">
        <f t="shared" si="30"/>
        <v>0</v>
      </c>
      <c r="J387">
        <v>1</v>
      </c>
      <c r="K387">
        <f t="shared" si="31"/>
        <v>3.8080001831054686E-4</v>
      </c>
      <c r="M387">
        <v>6</v>
      </c>
      <c r="N387">
        <f t="shared" si="32"/>
        <v>2.2848001098632813E-3</v>
      </c>
      <c r="P387">
        <v>0</v>
      </c>
      <c r="Q387">
        <f t="shared" si="33"/>
        <v>0</v>
      </c>
      <c r="S387">
        <v>0</v>
      </c>
      <c r="T387">
        <f t="shared" si="34"/>
        <v>0</v>
      </c>
      <c r="V387">
        <f>_xlfn.XLOOKUP(B387,[1]Sheet1!$B:$B,[1]Sheet1!$C:$C,0,0,1)</f>
        <v>0</v>
      </c>
      <c r="W387">
        <f t="shared" si="35"/>
        <v>0</v>
      </c>
    </row>
    <row r="388" spans="1:23" x14ac:dyDescent="0.2">
      <c r="A388">
        <v>82107</v>
      </c>
      <c r="B388" t="s">
        <v>712</v>
      </c>
      <c r="C388">
        <v>2253</v>
      </c>
      <c r="D388" t="s">
        <v>713</v>
      </c>
      <c r="E388" s="6">
        <v>52.459999084472656</v>
      </c>
      <c r="G388">
        <v>0</v>
      </c>
      <c r="H388">
        <f t="shared" si="30"/>
        <v>0</v>
      </c>
      <c r="J388">
        <v>0</v>
      </c>
      <c r="K388">
        <f t="shared" si="31"/>
        <v>0</v>
      </c>
      <c r="M388">
        <v>0</v>
      </c>
      <c r="N388">
        <f t="shared" si="32"/>
        <v>0</v>
      </c>
      <c r="P388">
        <v>0</v>
      </c>
      <c r="Q388">
        <f t="shared" si="33"/>
        <v>0</v>
      </c>
      <c r="S388">
        <v>0</v>
      </c>
      <c r="T388">
        <f t="shared" si="34"/>
        <v>0</v>
      </c>
      <c r="V388">
        <f>_xlfn.XLOOKUP(B388,[1]Sheet1!$B:$B,[1]Sheet1!$C:$C,0,0,1)</f>
        <v>0</v>
      </c>
      <c r="W388">
        <f t="shared" si="35"/>
        <v>0</v>
      </c>
    </row>
    <row r="389" spans="1:23" x14ac:dyDescent="0.2">
      <c r="A389">
        <v>82276</v>
      </c>
      <c r="B389" t="s">
        <v>714</v>
      </c>
      <c r="C389">
        <v>13971</v>
      </c>
      <c r="D389" t="s">
        <v>715</v>
      </c>
      <c r="E389" s="6">
        <v>92.349998474121094</v>
      </c>
      <c r="G389">
        <v>2</v>
      </c>
      <c r="H389">
        <f t="shared" si="30"/>
        <v>1.8469999694824219E-3</v>
      </c>
      <c r="J389">
        <v>1</v>
      </c>
      <c r="K389">
        <f t="shared" si="31"/>
        <v>9.2349998474121093E-4</v>
      </c>
      <c r="M389">
        <v>4</v>
      </c>
      <c r="N389">
        <f t="shared" si="32"/>
        <v>3.6939999389648437E-3</v>
      </c>
      <c r="P389">
        <v>0</v>
      </c>
      <c r="Q389">
        <f t="shared" si="33"/>
        <v>0</v>
      </c>
      <c r="S389">
        <v>0</v>
      </c>
      <c r="T389">
        <f t="shared" si="34"/>
        <v>0</v>
      </c>
      <c r="V389">
        <f>_xlfn.XLOOKUP(B389,[1]Sheet1!$B:$B,[1]Sheet1!$C:$C,0,0,1)</f>
        <v>0</v>
      </c>
      <c r="W389">
        <f t="shared" si="35"/>
        <v>0</v>
      </c>
    </row>
    <row r="390" spans="1:23" x14ac:dyDescent="0.2">
      <c r="A390">
        <v>82303</v>
      </c>
      <c r="B390" t="s">
        <v>716</v>
      </c>
      <c r="C390">
        <v>30970</v>
      </c>
      <c r="D390" t="s">
        <v>717</v>
      </c>
      <c r="E390" s="6">
        <v>362.45999145507812</v>
      </c>
      <c r="G390">
        <v>0</v>
      </c>
      <c r="H390">
        <f t="shared" si="30"/>
        <v>0</v>
      </c>
      <c r="J390">
        <v>0</v>
      </c>
      <c r="K390">
        <f t="shared" si="31"/>
        <v>0</v>
      </c>
      <c r="M390">
        <v>0</v>
      </c>
      <c r="N390">
        <f t="shared" si="32"/>
        <v>0</v>
      </c>
      <c r="P390">
        <v>0</v>
      </c>
      <c r="Q390">
        <f t="shared" si="33"/>
        <v>0</v>
      </c>
      <c r="S390">
        <v>0</v>
      </c>
      <c r="T390">
        <f t="shared" si="34"/>
        <v>0</v>
      </c>
      <c r="V390">
        <f>_xlfn.XLOOKUP(B390,[1]Sheet1!$B:$B,[1]Sheet1!$C:$C,0,0,1)</f>
        <v>0</v>
      </c>
      <c r="W390">
        <f t="shared" si="35"/>
        <v>0</v>
      </c>
    </row>
    <row r="391" spans="1:23" x14ac:dyDescent="0.2">
      <c r="A391">
        <v>82307</v>
      </c>
      <c r="B391" t="s">
        <v>718</v>
      </c>
      <c r="C391">
        <v>30975</v>
      </c>
      <c r="D391" t="s">
        <v>719</v>
      </c>
      <c r="E391" s="6">
        <v>149.55000305175781</v>
      </c>
      <c r="G391">
        <v>3</v>
      </c>
      <c r="H391">
        <f t="shared" si="30"/>
        <v>4.4865000915527342E-3</v>
      </c>
      <c r="J391">
        <v>0</v>
      </c>
      <c r="K391">
        <f t="shared" si="31"/>
        <v>0</v>
      </c>
      <c r="M391">
        <v>1</v>
      </c>
      <c r="N391">
        <f t="shared" si="32"/>
        <v>1.4955000305175781E-3</v>
      </c>
      <c r="P391">
        <v>0</v>
      </c>
      <c r="Q391">
        <f t="shared" si="33"/>
        <v>0</v>
      </c>
      <c r="S391">
        <v>2</v>
      </c>
      <c r="T391">
        <f t="shared" si="34"/>
        <v>2.9910000610351563E-3</v>
      </c>
      <c r="V391">
        <f>_xlfn.XLOOKUP(B391,[1]Sheet1!$B:$B,[1]Sheet1!$C:$C,0,0,1)</f>
        <v>0</v>
      </c>
      <c r="W391">
        <f t="shared" si="35"/>
        <v>0</v>
      </c>
    </row>
    <row r="392" spans="1:23" x14ac:dyDescent="0.2">
      <c r="A392">
        <v>82486</v>
      </c>
      <c r="B392" t="s">
        <v>1042</v>
      </c>
      <c r="C392">
        <v>14013</v>
      </c>
      <c r="D392" t="s">
        <v>1043</v>
      </c>
      <c r="E392" s="6">
        <v>412.23001098632812</v>
      </c>
      <c r="G392">
        <v>1</v>
      </c>
      <c r="H392">
        <f t="shared" si="30"/>
        <v>4.1223001098632814E-3</v>
      </c>
      <c r="J392">
        <v>1</v>
      </c>
      <c r="K392">
        <f t="shared" si="31"/>
        <v>4.1223001098632814E-3</v>
      </c>
      <c r="M392">
        <v>0</v>
      </c>
      <c r="N392">
        <f t="shared" si="32"/>
        <v>0</v>
      </c>
      <c r="P392">
        <v>0</v>
      </c>
      <c r="Q392">
        <f t="shared" si="33"/>
        <v>0</v>
      </c>
      <c r="S392">
        <v>1</v>
      </c>
      <c r="T392">
        <f t="shared" si="34"/>
        <v>4.1223001098632814E-3</v>
      </c>
      <c r="V392">
        <f>_xlfn.XLOOKUP(B392,[1]Sheet1!$B:$B,[1]Sheet1!$C:$C,0,0,1)</f>
        <v>0</v>
      </c>
      <c r="W392">
        <f t="shared" si="35"/>
        <v>0</v>
      </c>
    </row>
    <row r="393" spans="1:23" x14ac:dyDescent="0.2">
      <c r="A393">
        <v>82515</v>
      </c>
      <c r="B393" t="s">
        <v>720</v>
      </c>
      <c r="C393">
        <v>14046</v>
      </c>
      <c r="D393" t="s">
        <v>721</v>
      </c>
      <c r="E393" s="6">
        <v>340.94000244140625</v>
      </c>
      <c r="G393">
        <v>0</v>
      </c>
      <c r="H393">
        <f t="shared" si="30"/>
        <v>0</v>
      </c>
      <c r="J393">
        <v>2</v>
      </c>
      <c r="K393">
        <f t="shared" si="31"/>
        <v>6.8188000488281254E-3</v>
      </c>
      <c r="M393">
        <v>0</v>
      </c>
      <c r="N393">
        <f t="shared" si="32"/>
        <v>0</v>
      </c>
      <c r="P393">
        <v>0</v>
      </c>
      <c r="Q393">
        <f t="shared" si="33"/>
        <v>0</v>
      </c>
      <c r="S393">
        <v>2</v>
      </c>
      <c r="T393">
        <f t="shared" si="34"/>
        <v>6.8188000488281254E-3</v>
      </c>
      <c r="V393">
        <f>_xlfn.XLOOKUP(B393,[1]Sheet1!$B:$B,[1]Sheet1!$C:$C,0,0,1)</f>
        <v>0</v>
      </c>
      <c r="W393">
        <f t="shared" si="35"/>
        <v>0</v>
      </c>
    </row>
    <row r="394" spans="1:23" x14ac:dyDescent="0.2">
      <c r="A394">
        <v>82581</v>
      </c>
      <c r="B394" t="s">
        <v>722</v>
      </c>
      <c r="C394">
        <v>14098</v>
      </c>
      <c r="D394" t="s">
        <v>723</v>
      </c>
      <c r="E394" s="6">
        <v>69.199996948242188</v>
      </c>
      <c r="G394">
        <v>0</v>
      </c>
      <c r="H394">
        <f t="shared" si="30"/>
        <v>0</v>
      </c>
      <c r="J394">
        <v>0</v>
      </c>
      <c r="K394">
        <f t="shared" si="31"/>
        <v>0</v>
      </c>
      <c r="M394">
        <v>4</v>
      </c>
      <c r="N394">
        <f t="shared" si="32"/>
        <v>2.7679998779296874E-3</v>
      </c>
      <c r="P394">
        <v>0</v>
      </c>
      <c r="Q394">
        <f t="shared" si="33"/>
        <v>0</v>
      </c>
      <c r="S394">
        <v>2</v>
      </c>
      <c r="T394">
        <f t="shared" si="34"/>
        <v>1.3839999389648437E-3</v>
      </c>
      <c r="V394">
        <f>_xlfn.XLOOKUP(B394,[1]Sheet1!$B:$B,[1]Sheet1!$C:$C,0,0,1)</f>
        <v>0</v>
      </c>
      <c r="W394">
        <f t="shared" si="35"/>
        <v>0</v>
      </c>
    </row>
    <row r="395" spans="1:23" x14ac:dyDescent="0.2">
      <c r="A395">
        <v>82598</v>
      </c>
      <c r="B395" t="s">
        <v>724</v>
      </c>
      <c r="C395">
        <v>14152</v>
      </c>
      <c r="D395" t="s">
        <v>725</v>
      </c>
      <c r="E395" s="6">
        <v>116.08000183105469</v>
      </c>
      <c r="G395">
        <v>3</v>
      </c>
      <c r="H395">
        <f t="shared" si="30"/>
        <v>3.4824000549316405E-3</v>
      </c>
      <c r="J395">
        <v>0</v>
      </c>
      <c r="K395">
        <f t="shared" si="31"/>
        <v>0</v>
      </c>
      <c r="M395">
        <v>1</v>
      </c>
      <c r="N395">
        <f t="shared" si="32"/>
        <v>1.1608000183105469E-3</v>
      </c>
      <c r="P395">
        <v>0</v>
      </c>
      <c r="Q395">
        <f t="shared" si="33"/>
        <v>0</v>
      </c>
      <c r="S395">
        <v>0</v>
      </c>
      <c r="T395">
        <f t="shared" si="34"/>
        <v>0</v>
      </c>
      <c r="V395">
        <f>_xlfn.XLOOKUP(B395,[1]Sheet1!$B:$B,[1]Sheet1!$C:$C,0,0,1)</f>
        <v>0</v>
      </c>
      <c r="W395">
        <f t="shared" si="35"/>
        <v>0</v>
      </c>
    </row>
    <row r="396" spans="1:23" x14ac:dyDescent="0.2">
      <c r="A396">
        <v>82621</v>
      </c>
      <c r="B396" t="s">
        <v>726</v>
      </c>
      <c r="C396">
        <v>14097</v>
      </c>
      <c r="D396" t="s">
        <v>727</v>
      </c>
      <c r="E396" s="6">
        <v>0.95999997854232788</v>
      </c>
      <c r="G396">
        <v>418</v>
      </c>
      <c r="H396">
        <f t="shared" si="30"/>
        <v>4.0127999103069306E-3</v>
      </c>
      <c r="J396">
        <v>0</v>
      </c>
      <c r="K396">
        <f t="shared" si="31"/>
        <v>0</v>
      </c>
      <c r="M396">
        <v>0</v>
      </c>
      <c r="N396">
        <f t="shared" si="32"/>
        <v>0</v>
      </c>
      <c r="P396">
        <v>0</v>
      </c>
      <c r="Q396">
        <f t="shared" si="33"/>
        <v>0</v>
      </c>
      <c r="S396">
        <v>0</v>
      </c>
      <c r="T396">
        <f t="shared" si="34"/>
        <v>0</v>
      </c>
      <c r="V396">
        <f>_xlfn.XLOOKUP(B396,[1]Sheet1!$B:$B,[1]Sheet1!$C:$C,0,0,1)</f>
        <v>0</v>
      </c>
      <c r="W396">
        <f t="shared" si="35"/>
        <v>0</v>
      </c>
    </row>
    <row r="397" spans="1:23" x14ac:dyDescent="0.2">
      <c r="A397">
        <v>82642</v>
      </c>
      <c r="B397" t="s">
        <v>728</v>
      </c>
      <c r="C397">
        <v>31196</v>
      </c>
      <c r="D397" t="s">
        <v>729</v>
      </c>
      <c r="E397" s="6">
        <v>74.980003356933594</v>
      </c>
      <c r="G397">
        <v>0</v>
      </c>
      <c r="H397">
        <f t="shared" si="30"/>
        <v>0</v>
      </c>
      <c r="J397">
        <v>8</v>
      </c>
      <c r="K397">
        <f t="shared" si="31"/>
        <v>5.9984002685546873E-3</v>
      </c>
      <c r="M397">
        <v>2</v>
      </c>
      <c r="N397">
        <f t="shared" si="32"/>
        <v>1.4996000671386718E-3</v>
      </c>
      <c r="P397">
        <v>0</v>
      </c>
      <c r="Q397">
        <f t="shared" si="33"/>
        <v>0</v>
      </c>
      <c r="S397">
        <v>14</v>
      </c>
      <c r="T397">
        <f t="shared" si="34"/>
        <v>1.0497200469970703E-2</v>
      </c>
      <c r="V397">
        <f>_xlfn.XLOOKUP(B397,[1]Sheet1!$B:$B,[1]Sheet1!$C:$C,0,0,1)</f>
        <v>0</v>
      </c>
      <c r="W397">
        <f t="shared" si="35"/>
        <v>0</v>
      </c>
    </row>
    <row r="398" spans="1:23" x14ac:dyDescent="0.2">
      <c r="A398">
        <v>82651</v>
      </c>
      <c r="B398" t="s">
        <v>730</v>
      </c>
      <c r="C398">
        <v>31208</v>
      </c>
      <c r="D398" t="s">
        <v>731</v>
      </c>
      <c r="E398" s="6">
        <v>370.98001098632812</v>
      </c>
      <c r="G398">
        <v>0</v>
      </c>
      <c r="H398">
        <f t="shared" si="30"/>
        <v>0</v>
      </c>
      <c r="J398">
        <v>0</v>
      </c>
      <c r="K398">
        <f t="shared" si="31"/>
        <v>0</v>
      </c>
      <c r="M398">
        <v>0</v>
      </c>
      <c r="N398">
        <f t="shared" si="32"/>
        <v>0</v>
      </c>
      <c r="P398">
        <v>2</v>
      </c>
      <c r="Q398">
        <f t="shared" si="33"/>
        <v>7.4196002197265626E-3</v>
      </c>
      <c r="S398">
        <v>0</v>
      </c>
      <c r="T398">
        <f t="shared" si="34"/>
        <v>0</v>
      </c>
      <c r="V398">
        <f>_xlfn.XLOOKUP(B398,[1]Sheet1!$B:$B,[1]Sheet1!$C:$C,0,0,1)</f>
        <v>0</v>
      </c>
      <c r="W398">
        <f t="shared" si="35"/>
        <v>0</v>
      </c>
    </row>
    <row r="399" spans="1:23" x14ac:dyDescent="0.2">
      <c r="A399">
        <v>82775</v>
      </c>
      <c r="B399" t="s">
        <v>732</v>
      </c>
      <c r="C399">
        <v>31386</v>
      </c>
      <c r="D399" t="s">
        <v>733</v>
      </c>
      <c r="E399" s="6">
        <v>109.40000152587891</v>
      </c>
      <c r="G399">
        <v>2</v>
      </c>
      <c r="H399">
        <f t="shared" si="30"/>
        <v>2.1880000305175783E-3</v>
      </c>
      <c r="J399">
        <v>7</v>
      </c>
      <c r="K399">
        <f t="shared" si="31"/>
        <v>7.658000106811523E-3</v>
      </c>
      <c r="M399">
        <v>3</v>
      </c>
      <c r="N399">
        <f t="shared" si="32"/>
        <v>3.2820000457763673E-3</v>
      </c>
      <c r="P399">
        <v>0</v>
      </c>
      <c r="Q399">
        <f t="shared" si="33"/>
        <v>0</v>
      </c>
      <c r="S399">
        <v>3</v>
      </c>
      <c r="T399">
        <f t="shared" si="34"/>
        <v>3.2820000457763673E-3</v>
      </c>
      <c r="V399">
        <f>_xlfn.XLOOKUP(B399,[1]Sheet1!$B:$B,[1]Sheet1!$C:$C,0,0,1)</f>
        <v>0</v>
      </c>
      <c r="W399">
        <f t="shared" si="35"/>
        <v>0</v>
      </c>
    </row>
    <row r="400" spans="1:23" x14ac:dyDescent="0.2">
      <c r="A400">
        <v>83143</v>
      </c>
      <c r="B400" t="s">
        <v>734</v>
      </c>
      <c r="C400">
        <v>14330</v>
      </c>
      <c r="D400" t="s">
        <v>735</v>
      </c>
      <c r="E400" s="6">
        <v>105.11000061035156</v>
      </c>
      <c r="G400">
        <v>4</v>
      </c>
      <c r="H400">
        <f t="shared" ref="H400:H463" si="36">G400*E400/$C$5</f>
        <v>4.2044000244140624E-3</v>
      </c>
      <c r="J400">
        <v>4</v>
      </c>
      <c r="K400">
        <f t="shared" ref="K400:K463" si="37">J400*E400/$C$5</f>
        <v>4.2044000244140624E-3</v>
      </c>
      <c r="M400">
        <v>2</v>
      </c>
      <c r="N400">
        <f t="shared" ref="N400:N463" si="38">M400*E400/$C$5</f>
        <v>2.1022000122070312E-3</v>
      </c>
      <c r="P400">
        <v>0</v>
      </c>
      <c r="Q400">
        <f t="shared" ref="Q400:Q463" si="39">P400*E400/$C$5</f>
        <v>0</v>
      </c>
      <c r="S400">
        <v>4</v>
      </c>
      <c r="T400">
        <f t="shared" ref="T400:T463" si="40">S400*E400/$C$5</f>
        <v>4.2044000244140624E-3</v>
      </c>
      <c r="V400">
        <f>_xlfn.XLOOKUP(B400,[1]Sheet1!$B:$B,[1]Sheet1!$C:$C,0,0,1)</f>
        <v>0</v>
      </c>
      <c r="W400">
        <f t="shared" ref="W400:W463" si="41">V400*E400/$C$5</f>
        <v>0</v>
      </c>
    </row>
    <row r="401" spans="1:23" x14ac:dyDescent="0.2">
      <c r="A401">
        <v>83597</v>
      </c>
      <c r="B401" t="s">
        <v>736</v>
      </c>
      <c r="C401">
        <v>31661</v>
      </c>
      <c r="D401" t="s">
        <v>737</v>
      </c>
      <c r="E401" s="6">
        <v>480.27999877929688</v>
      </c>
      <c r="G401">
        <v>0</v>
      </c>
      <c r="H401">
        <f t="shared" si="36"/>
        <v>0</v>
      </c>
      <c r="J401">
        <v>0</v>
      </c>
      <c r="K401">
        <f t="shared" si="37"/>
        <v>0</v>
      </c>
      <c r="M401">
        <v>0</v>
      </c>
      <c r="N401">
        <f t="shared" si="38"/>
        <v>0</v>
      </c>
      <c r="P401">
        <v>0</v>
      </c>
      <c r="Q401">
        <f t="shared" si="39"/>
        <v>0</v>
      </c>
      <c r="S401">
        <v>0</v>
      </c>
      <c r="T401">
        <f t="shared" si="40"/>
        <v>0</v>
      </c>
      <c r="V401">
        <f>_xlfn.XLOOKUP(B401,[1]Sheet1!$B:$B,[1]Sheet1!$C:$C,0,0,1)</f>
        <v>0</v>
      </c>
      <c r="W401">
        <f t="shared" si="41"/>
        <v>0</v>
      </c>
    </row>
    <row r="402" spans="1:23" x14ac:dyDescent="0.2">
      <c r="A402">
        <v>83621</v>
      </c>
      <c r="B402" t="s">
        <v>738</v>
      </c>
      <c r="C402">
        <v>14744</v>
      </c>
      <c r="D402" t="s">
        <v>739</v>
      </c>
      <c r="E402" s="6">
        <v>337.32998657226562</v>
      </c>
      <c r="G402">
        <v>0</v>
      </c>
      <c r="H402">
        <f t="shared" si="36"/>
        <v>0</v>
      </c>
      <c r="J402">
        <v>0</v>
      </c>
      <c r="K402">
        <f t="shared" si="37"/>
        <v>0</v>
      </c>
      <c r="M402">
        <v>0</v>
      </c>
      <c r="N402">
        <f t="shared" si="38"/>
        <v>0</v>
      </c>
      <c r="P402">
        <v>0</v>
      </c>
      <c r="Q402">
        <f t="shared" si="39"/>
        <v>0</v>
      </c>
      <c r="S402">
        <v>2</v>
      </c>
      <c r="T402">
        <f t="shared" si="40"/>
        <v>6.7465997314453121E-3</v>
      </c>
      <c r="V402">
        <f>_xlfn.XLOOKUP(B402,[1]Sheet1!$B:$B,[1]Sheet1!$C:$C,0,0,1)</f>
        <v>0</v>
      </c>
      <c r="W402">
        <f t="shared" si="41"/>
        <v>0</v>
      </c>
    </row>
    <row r="403" spans="1:23" x14ac:dyDescent="0.2">
      <c r="A403">
        <v>84262</v>
      </c>
      <c r="B403" t="s">
        <v>740</v>
      </c>
      <c r="C403">
        <v>15171</v>
      </c>
      <c r="D403" t="s">
        <v>741</v>
      </c>
      <c r="E403" s="6">
        <v>114.06999969482422</v>
      </c>
      <c r="G403">
        <v>1</v>
      </c>
      <c r="H403">
        <f t="shared" si="36"/>
        <v>1.1406999969482423E-3</v>
      </c>
      <c r="J403">
        <v>3</v>
      </c>
      <c r="K403">
        <f t="shared" si="37"/>
        <v>3.4220999908447266E-3</v>
      </c>
      <c r="M403">
        <v>3</v>
      </c>
      <c r="N403">
        <f t="shared" si="38"/>
        <v>3.4220999908447266E-3</v>
      </c>
      <c r="P403">
        <v>0</v>
      </c>
      <c r="Q403">
        <f t="shared" si="39"/>
        <v>0</v>
      </c>
      <c r="S403">
        <v>4</v>
      </c>
      <c r="T403">
        <f t="shared" si="40"/>
        <v>4.5627999877929691E-3</v>
      </c>
      <c r="V403">
        <f>_xlfn.XLOOKUP(B403,[1]Sheet1!$B:$B,[1]Sheet1!$C:$C,0,0,1)</f>
        <v>0</v>
      </c>
      <c r="W403">
        <f t="shared" si="41"/>
        <v>0</v>
      </c>
    </row>
    <row r="404" spans="1:23" x14ac:dyDescent="0.2">
      <c r="A404">
        <v>84373</v>
      </c>
      <c r="B404" t="s">
        <v>742</v>
      </c>
      <c r="C404">
        <v>31838</v>
      </c>
      <c r="D404" t="s">
        <v>743</v>
      </c>
      <c r="E404" s="6">
        <v>150.86000061035156</v>
      </c>
      <c r="G404">
        <v>0</v>
      </c>
      <c r="H404">
        <f t="shared" si="36"/>
        <v>0</v>
      </c>
      <c r="J404">
        <v>0</v>
      </c>
      <c r="K404">
        <f t="shared" si="37"/>
        <v>0</v>
      </c>
      <c r="M404">
        <v>1</v>
      </c>
      <c r="N404">
        <f t="shared" si="38"/>
        <v>1.5086000061035156E-3</v>
      </c>
      <c r="P404">
        <v>0</v>
      </c>
      <c r="Q404">
        <f t="shared" si="39"/>
        <v>0</v>
      </c>
      <c r="S404">
        <v>0</v>
      </c>
      <c r="T404">
        <f t="shared" si="40"/>
        <v>0</v>
      </c>
      <c r="V404">
        <f>_xlfn.XLOOKUP(B404,[1]Sheet1!$B:$B,[1]Sheet1!$C:$C,0,0,1)</f>
        <v>0</v>
      </c>
      <c r="W404">
        <f t="shared" si="41"/>
        <v>0</v>
      </c>
    </row>
    <row r="405" spans="1:23" x14ac:dyDescent="0.2">
      <c r="A405">
        <v>84381</v>
      </c>
      <c r="B405" t="s">
        <v>744</v>
      </c>
      <c r="C405">
        <v>31847</v>
      </c>
      <c r="D405" t="s">
        <v>745</v>
      </c>
      <c r="E405" s="6">
        <v>285.79000854492188</v>
      </c>
      <c r="G405">
        <v>0</v>
      </c>
      <c r="H405">
        <f t="shared" si="36"/>
        <v>0</v>
      </c>
      <c r="J405">
        <v>0</v>
      </c>
      <c r="K405">
        <f t="shared" si="37"/>
        <v>0</v>
      </c>
      <c r="M405">
        <v>0</v>
      </c>
      <c r="N405">
        <f t="shared" si="38"/>
        <v>0</v>
      </c>
      <c r="P405">
        <v>0</v>
      </c>
      <c r="Q405">
        <f t="shared" si="39"/>
        <v>0</v>
      </c>
      <c r="S405">
        <v>0</v>
      </c>
      <c r="T405">
        <f t="shared" si="40"/>
        <v>0</v>
      </c>
      <c r="V405">
        <f>_xlfn.XLOOKUP(B405,[1]Sheet1!$B:$B,[1]Sheet1!$C:$C,0,0,1)</f>
        <v>0</v>
      </c>
      <c r="W405">
        <f t="shared" si="41"/>
        <v>0</v>
      </c>
    </row>
    <row r="406" spans="1:23" x14ac:dyDescent="0.2">
      <c r="A406">
        <v>84387</v>
      </c>
      <c r="B406" t="s">
        <v>746</v>
      </c>
      <c r="C406">
        <v>31894</v>
      </c>
      <c r="D406" t="s">
        <v>747</v>
      </c>
      <c r="E406" s="6">
        <v>16.540000915527344</v>
      </c>
      <c r="G406">
        <v>7</v>
      </c>
      <c r="H406">
        <f t="shared" si="36"/>
        <v>1.157800064086914E-3</v>
      </c>
      <c r="J406">
        <v>0</v>
      </c>
      <c r="K406">
        <f t="shared" si="37"/>
        <v>0</v>
      </c>
      <c r="M406">
        <v>0</v>
      </c>
      <c r="N406">
        <f t="shared" si="38"/>
        <v>0</v>
      </c>
      <c r="P406">
        <v>0</v>
      </c>
      <c r="Q406">
        <f t="shared" si="39"/>
        <v>0</v>
      </c>
      <c r="S406">
        <v>0</v>
      </c>
      <c r="T406">
        <f t="shared" si="40"/>
        <v>0</v>
      </c>
      <c r="V406">
        <f>_xlfn.XLOOKUP(B406,[1]Sheet1!$B:$B,[1]Sheet1!$C:$C,0,0,1)</f>
        <v>0</v>
      </c>
      <c r="W406">
        <f t="shared" si="41"/>
        <v>0</v>
      </c>
    </row>
    <row r="407" spans="1:23" x14ac:dyDescent="0.2">
      <c r="A407">
        <v>84761</v>
      </c>
      <c r="B407" t="s">
        <v>748</v>
      </c>
      <c r="C407">
        <v>15436</v>
      </c>
      <c r="D407" t="s">
        <v>749</v>
      </c>
      <c r="E407" s="6">
        <v>184.08000183105469</v>
      </c>
      <c r="G407">
        <v>2</v>
      </c>
      <c r="H407">
        <f t="shared" si="36"/>
        <v>3.6816000366210939E-3</v>
      </c>
      <c r="J407">
        <v>0</v>
      </c>
      <c r="K407">
        <f t="shared" si="37"/>
        <v>0</v>
      </c>
      <c r="M407">
        <v>1</v>
      </c>
      <c r="N407">
        <f t="shared" si="38"/>
        <v>1.8408000183105469E-3</v>
      </c>
      <c r="P407">
        <v>4</v>
      </c>
      <c r="Q407">
        <f t="shared" si="39"/>
        <v>7.3632000732421878E-3</v>
      </c>
      <c r="S407">
        <v>0</v>
      </c>
      <c r="T407">
        <f t="shared" si="40"/>
        <v>0</v>
      </c>
      <c r="V407">
        <f>_xlfn.XLOOKUP(B407,[1]Sheet1!$B:$B,[1]Sheet1!$C:$C,0,0,1)</f>
        <v>0</v>
      </c>
      <c r="W407">
        <f t="shared" si="41"/>
        <v>0</v>
      </c>
    </row>
    <row r="408" spans="1:23" x14ac:dyDescent="0.2">
      <c r="A408">
        <v>84767</v>
      </c>
      <c r="B408" t="s">
        <v>750</v>
      </c>
      <c r="C408">
        <v>31965</v>
      </c>
      <c r="D408" t="s">
        <v>751</v>
      </c>
      <c r="E408" s="6">
        <v>97.550003051757812</v>
      </c>
      <c r="G408">
        <v>0</v>
      </c>
      <c r="H408">
        <f t="shared" si="36"/>
        <v>0</v>
      </c>
      <c r="J408">
        <v>9</v>
      </c>
      <c r="K408">
        <f t="shared" si="37"/>
        <v>8.7795002746582033E-3</v>
      </c>
      <c r="M408">
        <v>2</v>
      </c>
      <c r="N408">
        <f t="shared" si="38"/>
        <v>1.9510000610351564E-3</v>
      </c>
      <c r="P408">
        <v>0</v>
      </c>
      <c r="Q408">
        <f t="shared" si="39"/>
        <v>0</v>
      </c>
      <c r="S408">
        <v>6</v>
      </c>
      <c r="T408">
        <f t="shared" si="40"/>
        <v>5.8530001831054689E-3</v>
      </c>
      <c r="V408">
        <f>_xlfn.XLOOKUP(B408,[1]Sheet1!$B:$B,[1]Sheet1!$C:$C,0,0,1)</f>
        <v>0</v>
      </c>
      <c r="W408">
        <f t="shared" si="41"/>
        <v>0</v>
      </c>
    </row>
    <row r="409" spans="1:23" x14ac:dyDescent="0.2">
      <c r="A409">
        <v>84769</v>
      </c>
      <c r="B409" t="s">
        <v>752</v>
      </c>
      <c r="C409">
        <v>31967</v>
      </c>
      <c r="D409" t="s">
        <v>753</v>
      </c>
      <c r="E409" s="6">
        <v>69.449996948242188</v>
      </c>
      <c r="G409">
        <v>5</v>
      </c>
      <c r="H409">
        <f t="shared" si="36"/>
        <v>3.4724998474121092E-3</v>
      </c>
      <c r="J409">
        <v>0</v>
      </c>
      <c r="K409">
        <f t="shared" si="37"/>
        <v>0</v>
      </c>
      <c r="M409">
        <v>3</v>
      </c>
      <c r="N409">
        <f t="shared" si="38"/>
        <v>2.0834999084472657E-3</v>
      </c>
      <c r="P409">
        <v>0</v>
      </c>
      <c r="Q409">
        <f t="shared" si="39"/>
        <v>0</v>
      </c>
      <c r="S409">
        <v>2</v>
      </c>
      <c r="T409">
        <f t="shared" si="40"/>
        <v>1.3889999389648437E-3</v>
      </c>
      <c r="V409">
        <f>_xlfn.XLOOKUP(B409,[1]Sheet1!$B:$B,[1]Sheet1!$C:$C,0,0,1)</f>
        <v>0</v>
      </c>
      <c r="W409">
        <f t="shared" si="41"/>
        <v>0</v>
      </c>
    </row>
    <row r="410" spans="1:23" x14ac:dyDescent="0.2">
      <c r="A410">
        <v>84788</v>
      </c>
      <c r="B410" t="s">
        <v>754</v>
      </c>
      <c r="C410">
        <v>15473</v>
      </c>
      <c r="D410" t="s">
        <v>755</v>
      </c>
      <c r="E410" s="6">
        <v>219.38999938964844</v>
      </c>
      <c r="G410">
        <v>3</v>
      </c>
      <c r="H410">
        <f t="shared" si="36"/>
        <v>6.5816999816894527E-3</v>
      </c>
      <c r="J410">
        <v>2</v>
      </c>
      <c r="K410">
        <f t="shared" si="37"/>
        <v>4.3877999877929685E-3</v>
      </c>
      <c r="M410">
        <v>1</v>
      </c>
      <c r="N410">
        <f t="shared" si="38"/>
        <v>2.1938999938964842E-3</v>
      </c>
      <c r="P410">
        <v>4</v>
      </c>
      <c r="Q410">
        <f t="shared" si="39"/>
        <v>8.7755999755859369E-3</v>
      </c>
      <c r="S410">
        <v>3</v>
      </c>
      <c r="T410">
        <f t="shared" si="40"/>
        <v>6.5816999816894527E-3</v>
      </c>
      <c r="V410">
        <f>_xlfn.XLOOKUP(B410,[1]Sheet1!$B:$B,[1]Sheet1!$C:$C,0,0,1)</f>
        <v>0</v>
      </c>
      <c r="W410">
        <f t="shared" si="41"/>
        <v>0</v>
      </c>
    </row>
    <row r="411" spans="1:23" x14ac:dyDescent="0.2">
      <c r="A411">
        <v>85058</v>
      </c>
      <c r="B411" t="s">
        <v>756</v>
      </c>
      <c r="C411">
        <v>31991</v>
      </c>
      <c r="D411" t="s">
        <v>1044</v>
      </c>
      <c r="E411" s="6">
        <v>74.360000610351562</v>
      </c>
      <c r="G411">
        <v>1</v>
      </c>
      <c r="H411">
        <f t="shared" si="36"/>
        <v>7.4360000610351566E-4</v>
      </c>
      <c r="J411">
        <v>0</v>
      </c>
      <c r="K411">
        <f t="shared" si="37"/>
        <v>0</v>
      </c>
      <c r="M411">
        <v>3</v>
      </c>
      <c r="N411">
        <f t="shared" si="38"/>
        <v>2.2308000183105469E-3</v>
      </c>
      <c r="P411">
        <v>0</v>
      </c>
      <c r="Q411">
        <f t="shared" si="39"/>
        <v>0</v>
      </c>
      <c r="S411">
        <v>0</v>
      </c>
      <c r="T411">
        <f t="shared" si="40"/>
        <v>0</v>
      </c>
      <c r="V411">
        <f>_xlfn.XLOOKUP(B411,[1]Sheet1!$B:$B,[1]Sheet1!$C:$C,0,0,1)</f>
        <v>0</v>
      </c>
      <c r="W411">
        <f t="shared" si="41"/>
        <v>0</v>
      </c>
    </row>
    <row r="412" spans="1:23" x14ac:dyDescent="0.2">
      <c r="A412">
        <v>85072</v>
      </c>
      <c r="B412" t="s">
        <v>757</v>
      </c>
      <c r="C412">
        <v>32009</v>
      </c>
      <c r="D412" t="s">
        <v>758</v>
      </c>
      <c r="E412" s="6">
        <v>230.97999572753906</v>
      </c>
      <c r="G412">
        <v>2</v>
      </c>
      <c r="H412">
        <f t="shared" si="36"/>
        <v>4.6195999145507809E-3</v>
      </c>
      <c r="J412">
        <v>0</v>
      </c>
      <c r="K412">
        <f t="shared" si="37"/>
        <v>0</v>
      </c>
      <c r="M412">
        <v>1</v>
      </c>
      <c r="N412">
        <f t="shared" si="38"/>
        <v>2.3097999572753904E-3</v>
      </c>
      <c r="P412">
        <v>2</v>
      </c>
      <c r="Q412">
        <f t="shared" si="39"/>
        <v>4.6195999145507809E-3</v>
      </c>
      <c r="S412">
        <v>1</v>
      </c>
      <c r="T412">
        <f t="shared" si="40"/>
        <v>2.3097999572753904E-3</v>
      </c>
      <c r="V412">
        <f>_xlfn.XLOOKUP(B412,[1]Sheet1!$B:$B,[1]Sheet1!$C:$C,0,0,1)</f>
        <v>0</v>
      </c>
      <c r="W412">
        <f t="shared" si="41"/>
        <v>0</v>
      </c>
    </row>
    <row r="413" spans="1:23" x14ac:dyDescent="0.2">
      <c r="A413">
        <v>85257</v>
      </c>
      <c r="B413" t="s">
        <v>759</v>
      </c>
      <c r="C413">
        <v>32054</v>
      </c>
      <c r="D413" t="s">
        <v>760</v>
      </c>
      <c r="E413" s="6">
        <v>180.25999450683594</v>
      </c>
      <c r="G413">
        <v>1</v>
      </c>
      <c r="H413">
        <f t="shared" si="36"/>
        <v>1.8025999450683593E-3</v>
      </c>
      <c r="J413">
        <v>0</v>
      </c>
      <c r="K413">
        <f t="shared" si="37"/>
        <v>0</v>
      </c>
      <c r="M413">
        <v>1</v>
      </c>
      <c r="N413">
        <f t="shared" si="38"/>
        <v>1.8025999450683593E-3</v>
      </c>
      <c r="P413">
        <v>0</v>
      </c>
      <c r="Q413">
        <f t="shared" si="39"/>
        <v>0</v>
      </c>
      <c r="S413">
        <v>0</v>
      </c>
      <c r="T413">
        <f t="shared" si="40"/>
        <v>0</v>
      </c>
      <c r="V413">
        <f>_xlfn.XLOOKUP(B413,[1]Sheet1!$B:$B,[1]Sheet1!$C:$C,0,0,1)</f>
        <v>0</v>
      </c>
      <c r="W413">
        <f t="shared" si="41"/>
        <v>0</v>
      </c>
    </row>
    <row r="414" spans="1:23" x14ac:dyDescent="0.2">
      <c r="A414">
        <v>85269</v>
      </c>
      <c r="B414" t="s">
        <v>761</v>
      </c>
      <c r="C414">
        <v>32066</v>
      </c>
      <c r="D414" t="s">
        <v>762</v>
      </c>
      <c r="E414" s="6">
        <v>122.58999633789062</v>
      </c>
      <c r="G414">
        <v>0</v>
      </c>
      <c r="H414">
        <f t="shared" si="36"/>
        <v>0</v>
      </c>
      <c r="J414">
        <v>0</v>
      </c>
      <c r="K414">
        <f t="shared" si="37"/>
        <v>0</v>
      </c>
      <c r="M414">
        <v>3</v>
      </c>
      <c r="N414">
        <f t="shared" si="38"/>
        <v>3.6776998901367187E-3</v>
      </c>
      <c r="P414">
        <v>0</v>
      </c>
      <c r="Q414">
        <f t="shared" si="39"/>
        <v>0</v>
      </c>
      <c r="S414">
        <v>0</v>
      </c>
      <c r="T414">
        <f t="shared" si="40"/>
        <v>0</v>
      </c>
      <c r="V414">
        <f>_xlfn.XLOOKUP(B414,[1]Sheet1!$B:$B,[1]Sheet1!$C:$C,0,0,1)</f>
        <v>0</v>
      </c>
      <c r="W414">
        <f t="shared" si="41"/>
        <v>0</v>
      </c>
    </row>
    <row r="415" spans="1:23" x14ac:dyDescent="0.2">
      <c r="A415">
        <v>85348</v>
      </c>
      <c r="B415" t="s">
        <v>763</v>
      </c>
      <c r="C415">
        <v>32093</v>
      </c>
      <c r="D415" t="s">
        <v>764</v>
      </c>
      <c r="E415" s="6">
        <v>134.16000366210938</v>
      </c>
      <c r="G415">
        <v>0</v>
      </c>
      <c r="H415">
        <f t="shared" si="36"/>
        <v>0</v>
      </c>
      <c r="J415">
        <v>3</v>
      </c>
      <c r="K415">
        <f t="shared" si="37"/>
        <v>4.0248001098632811E-3</v>
      </c>
      <c r="M415">
        <v>2</v>
      </c>
      <c r="N415">
        <f t="shared" si="38"/>
        <v>2.6832000732421877E-3</v>
      </c>
      <c r="P415">
        <v>0</v>
      </c>
      <c r="Q415">
        <f t="shared" si="39"/>
        <v>0</v>
      </c>
      <c r="S415">
        <v>2</v>
      </c>
      <c r="T415">
        <f t="shared" si="40"/>
        <v>2.6832000732421877E-3</v>
      </c>
      <c r="V415">
        <f>_xlfn.XLOOKUP(B415,[1]Sheet1!$B:$B,[1]Sheet1!$C:$C,0,0,1)</f>
        <v>0</v>
      </c>
      <c r="W415">
        <f t="shared" si="41"/>
        <v>0</v>
      </c>
    </row>
    <row r="416" spans="1:23" x14ac:dyDescent="0.2">
      <c r="A416">
        <v>85459</v>
      </c>
      <c r="B416" t="s">
        <v>765</v>
      </c>
      <c r="C416">
        <v>15758</v>
      </c>
      <c r="D416" t="s">
        <v>766</v>
      </c>
      <c r="E416" s="6">
        <v>103.31999969482422</v>
      </c>
      <c r="G416">
        <v>0</v>
      </c>
      <c r="H416">
        <f t="shared" si="36"/>
        <v>0</v>
      </c>
      <c r="J416">
        <v>0</v>
      </c>
      <c r="K416">
        <f t="shared" si="37"/>
        <v>0</v>
      </c>
      <c r="M416">
        <v>2</v>
      </c>
      <c r="N416">
        <f t="shared" si="38"/>
        <v>2.0663999938964842E-3</v>
      </c>
      <c r="P416">
        <v>0</v>
      </c>
      <c r="Q416">
        <f t="shared" si="39"/>
        <v>0</v>
      </c>
      <c r="S416">
        <v>0</v>
      </c>
      <c r="T416">
        <f t="shared" si="40"/>
        <v>0</v>
      </c>
      <c r="V416">
        <f>_xlfn.XLOOKUP(B416,[1]Sheet1!$B:$B,[1]Sheet1!$C:$C,0,0,1)</f>
        <v>0</v>
      </c>
      <c r="W416">
        <f t="shared" si="41"/>
        <v>0</v>
      </c>
    </row>
    <row r="417" spans="1:23" x14ac:dyDescent="0.2">
      <c r="A417">
        <v>85592</v>
      </c>
      <c r="B417" t="s">
        <v>767</v>
      </c>
      <c r="C417">
        <v>32135</v>
      </c>
      <c r="D417" t="s">
        <v>768</v>
      </c>
      <c r="E417" s="6">
        <v>105.69999694824219</v>
      </c>
      <c r="G417">
        <v>0</v>
      </c>
      <c r="H417">
        <f t="shared" si="36"/>
        <v>0</v>
      </c>
      <c r="J417">
        <v>3</v>
      </c>
      <c r="K417">
        <f t="shared" si="37"/>
        <v>3.1709999084472656E-3</v>
      </c>
      <c r="M417">
        <v>1</v>
      </c>
      <c r="N417">
        <f t="shared" si="38"/>
        <v>1.0569999694824219E-3</v>
      </c>
      <c r="P417">
        <v>0</v>
      </c>
      <c r="Q417">
        <f t="shared" si="39"/>
        <v>0</v>
      </c>
      <c r="S417">
        <v>3</v>
      </c>
      <c r="T417">
        <f t="shared" si="40"/>
        <v>3.1709999084472656E-3</v>
      </c>
      <c r="V417">
        <f>_xlfn.XLOOKUP(B417,[1]Sheet1!$B:$B,[1]Sheet1!$C:$C,0,0,1)</f>
        <v>0</v>
      </c>
      <c r="W417">
        <f t="shared" si="41"/>
        <v>0</v>
      </c>
    </row>
    <row r="418" spans="1:23" x14ac:dyDescent="0.2">
      <c r="A418">
        <v>85621</v>
      </c>
      <c r="B418" t="s">
        <v>769</v>
      </c>
      <c r="C418">
        <v>32158</v>
      </c>
      <c r="D418" t="s">
        <v>770</v>
      </c>
      <c r="E418" s="6">
        <v>1223.6800537109375</v>
      </c>
      <c r="G418">
        <v>0</v>
      </c>
      <c r="H418">
        <f t="shared" si="36"/>
        <v>0</v>
      </c>
      <c r="J418">
        <v>0</v>
      </c>
      <c r="K418">
        <f t="shared" si="37"/>
        <v>0</v>
      </c>
      <c r="M418">
        <v>0</v>
      </c>
      <c r="N418">
        <f t="shared" si="38"/>
        <v>0</v>
      </c>
      <c r="P418">
        <v>0</v>
      </c>
      <c r="Q418">
        <f t="shared" si="39"/>
        <v>0</v>
      </c>
      <c r="S418">
        <v>0</v>
      </c>
      <c r="T418">
        <f t="shared" si="40"/>
        <v>0</v>
      </c>
      <c r="V418">
        <f>_xlfn.XLOOKUP(B418,[1]Sheet1!$B:$B,[1]Sheet1!$C:$C,0,0,1)</f>
        <v>0</v>
      </c>
      <c r="W418">
        <f t="shared" si="41"/>
        <v>0</v>
      </c>
    </row>
    <row r="419" spans="1:23" x14ac:dyDescent="0.2">
      <c r="A419">
        <v>85631</v>
      </c>
      <c r="B419" t="s">
        <v>771</v>
      </c>
      <c r="C419">
        <v>7623</v>
      </c>
      <c r="D419" t="s">
        <v>772</v>
      </c>
      <c r="E419" s="6">
        <v>295.57000732421875</v>
      </c>
      <c r="G419">
        <v>1</v>
      </c>
      <c r="H419">
        <f t="shared" si="36"/>
        <v>2.9557000732421874E-3</v>
      </c>
      <c r="J419">
        <v>1</v>
      </c>
      <c r="K419">
        <f t="shared" si="37"/>
        <v>2.9557000732421874E-3</v>
      </c>
      <c r="M419">
        <v>0</v>
      </c>
      <c r="N419">
        <f t="shared" si="38"/>
        <v>0</v>
      </c>
      <c r="P419">
        <v>2</v>
      </c>
      <c r="Q419">
        <f t="shared" si="39"/>
        <v>5.9114001464843748E-3</v>
      </c>
      <c r="S419">
        <v>2</v>
      </c>
      <c r="T419">
        <f t="shared" si="40"/>
        <v>5.9114001464843748E-3</v>
      </c>
      <c r="V419">
        <f>_xlfn.XLOOKUP(B419,[1]Sheet1!$B:$B,[1]Sheet1!$C:$C,0,0,1)</f>
        <v>0</v>
      </c>
      <c r="W419">
        <f t="shared" si="41"/>
        <v>0</v>
      </c>
    </row>
    <row r="420" spans="1:23" x14ac:dyDescent="0.2">
      <c r="A420">
        <v>85663</v>
      </c>
      <c r="B420" t="s">
        <v>773</v>
      </c>
      <c r="C420">
        <v>32191</v>
      </c>
      <c r="D420" t="s">
        <v>774</v>
      </c>
      <c r="E420" s="6">
        <v>704.44000244140625</v>
      </c>
      <c r="G420">
        <v>1</v>
      </c>
      <c r="H420">
        <f t="shared" si="36"/>
        <v>7.0444000244140629E-3</v>
      </c>
      <c r="J420">
        <v>0</v>
      </c>
      <c r="K420">
        <f t="shared" si="37"/>
        <v>0</v>
      </c>
      <c r="M420">
        <v>0</v>
      </c>
      <c r="N420">
        <f t="shared" si="38"/>
        <v>0</v>
      </c>
      <c r="P420">
        <v>0</v>
      </c>
      <c r="Q420">
        <f t="shared" si="39"/>
        <v>0</v>
      </c>
      <c r="S420">
        <v>0</v>
      </c>
      <c r="T420">
        <f t="shared" si="40"/>
        <v>0</v>
      </c>
      <c r="V420">
        <f>_xlfn.XLOOKUP(B420,[1]Sheet1!$B:$B,[1]Sheet1!$C:$C,0,0,1)</f>
        <v>0</v>
      </c>
      <c r="W420">
        <f t="shared" si="41"/>
        <v>0</v>
      </c>
    </row>
    <row r="421" spans="1:23" x14ac:dyDescent="0.2">
      <c r="A421">
        <v>85753</v>
      </c>
      <c r="B421" t="s">
        <v>775</v>
      </c>
      <c r="C421">
        <v>15940</v>
      </c>
      <c r="D421" t="s">
        <v>776</v>
      </c>
      <c r="E421" s="6">
        <v>206.96000671386719</v>
      </c>
      <c r="G421">
        <v>0</v>
      </c>
      <c r="H421">
        <f t="shared" si="36"/>
        <v>0</v>
      </c>
      <c r="J421">
        <v>0</v>
      </c>
      <c r="K421">
        <f t="shared" si="37"/>
        <v>0</v>
      </c>
      <c r="M421">
        <v>1</v>
      </c>
      <c r="N421">
        <f t="shared" si="38"/>
        <v>2.0696000671386718E-3</v>
      </c>
      <c r="P421">
        <v>0</v>
      </c>
      <c r="Q421">
        <f t="shared" si="39"/>
        <v>0</v>
      </c>
      <c r="S421">
        <v>0</v>
      </c>
      <c r="T421">
        <f t="shared" si="40"/>
        <v>0</v>
      </c>
      <c r="V421">
        <f>_xlfn.XLOOKUP(B421,[1]Sheet1!$B:$B,[1]Sheet1!$C:$C,0,0,1)</f>
        <v>0</v>
      </c>
      <c r="W421">
        <f t="shared" si="41"/>
        <v>0</v>
      </c>
    </row>
    <row r="422" spans="1:23" x14ac:dyDescent="0.2">
      <c r="A422">
        <v>85792</v>
      </c>
      <c r="B422" t="s">
        <v>777</v>
      </c>
      <c r="C422">
        <v>34660</v>
      </c>
      <c r="D422" t="s">
        <v>778</v>
      </c>
      <c r="E422" s="6">
        <v>316.04998779296875</v>
      </c>
      <c r="G422">
        <v>2</v>
      </c>
      <c r="H422">
        <f t="shared" si="36"/>
        <v>6.320999755859375E-3</v>
      </c>
      <c r="J422">
        <v>1</v>
      </c>
      <c r="K422">
        <f t="shared" si="37"/>
        <v>3.1604998779296875E-3</v>
      </c>
      <c r="M422">
        <v>0</v>
      </c>
      <c r="N422">
        <f t="shared" si="38"/>
        <v>0</v>
      </c>
      <c r="P422">
        <v>2</v>
      </c>
      <c r="Q422">
        <f t="shared" si="39"/>
        <v>6.320999755859375E-3</v>
      </c>
      <c r="S422">
        <v>0</v>
      </c>
      <c r="T422">
        <f t="shared" si="40"/>
        <v>0</v>
      </c>
      <c r="V422">
        <f>_xlfn.XLOOKUP(B422,[1]Sheet1!$B:$B,[1]Sheet1!$C:$C,0,0,1)</f>
        <v>0</v>
      </c>
      <c r="W422">
        <f t="shared" si="41"/>
        <v>0</v>
      </c>
    </row>
    <row r="423" spans="1:23" x14ac:dyDescent="0.2">
      <c r="A423">
        <v>85913</v>
      </c>
      <c r="B423" t="s">
        <v>779</v>
      </c>
      <c r="C423">
        <v>30005</v>
      </c>
      <c r="D423" t="s">
        <v>780</v>
      </c>
      <c r="E423" s="6">
        <v>278.94000244140625</v>
      </c>
      <c r="G423">
        <v>1</v>
      </c>
      <c r="H423">
        <f t="shared" si="36"/>
        <v>2.7894000244140624E-3</v>
      </c>
      <c r="J423">
        <v>0</v>
      </c>
      <c r="K423">
        <f t="shared" si="37"/>
        <v>0</v>
      </c>
      <c r="M423">
        <v>1</v>
      </c>
      <c r="N423">
        <f t="shared" si="38"/>
        <v>2.7894000244140624E-3</v>
      </c>
      <c r="P423">
        <v>4</v>
      </c>
      <c r="Q423">
        <f t="shared" si="39"/>
        <v>1.115760009765625E-2</v>
      </c>
      <c r="S423">
        <v>0</v>
      </c>
      <c r="T423">
        <f t="shared" si="40"/>
        <v>0</v>
      </c>
      <c r="V423">
        <f>_xlfn.XLOOKUP(B423,[1]Sheet1!$B:$B,[1]Sheet1!$C:$C,0,0,1)</f>
        <v>0</v>
      </c>
      <c r="W423">
        <f t="shared" si="41"/>
        <v>0</v>
      </c>
    </row>
    <row r="424" spans="1:23" x14ac:dyDescent="0.2">
      <c r="A424">
        <v>85914</v>
      </c>
      <c r="B424" t="s">
        <v>781</v>
      </c>
      <c r="C424">
        <v>7506</v>
      </c>
      <c r="D424" t="s">
        <v>782</v>
      </c>
      <c r="E424" s="6">
        <v>85.800003051757812</v>
      </c>
      <c r="G424">
        <v>0</v>
      </c>
      <c r="H424">
        <f t="shared" si="36"/>
        <v>0</v>
      </c>
      <c r="J424">
        <v>0</v>
      </c>
      <c r="K424">
        <f t="shared" si="37"/>
        <v>0</v>
      </c>
      <c r="M424">
        <v>2</v>
      </c>
      <c r="N424">
        <f t="shared" si="38"/>
        <v>1.7160000610351562E-3</v>
      </c>
      <c r="P424">
        <v>0</v>
      </c>
      <c r="Q424">
        <f t="shared" si="39"/>
        <v>0</v>
      </c>
      <c r="S424">
        <v>0</v>
      </c>
      <c r="T424">
        <f t="shared" si="40"/>
        <v>0</v>
      </c>
      <c r="V424">
        <f>_xlfn.XLOOKUP(B424,[1]Sheet1!$B:$B,[1]Sheet1!$C:$C,0,0,1)</f>
        <v>0</v>
      </c>
      <c r="W424">
        <f t="shared" si="41"/>
        <v>0</v>
      </c>
    </row>
    <row r="425" spans="1:23" x14ac:dyDescent="0.2">
      <c r="A425">
        <v>86111</v>
      </c>
      <c r="B425" t="s">
        <v>783</v>
      </c>
      <c r="C425">
        <v>34770</v>
      </c>
      <c r="D425" t="s">
        <v>784</v>
      </c>
      <c r="E425" s="6">
        <v>183.41000366210938</v>
      </c>
      <c r="G425">
        <v>0</v>
      </c>
      <c r="H425">
        <f t="shared" si="36"/>
        <v>0</v>
      </c>
      <c r="J425">
        <v>5</v>
      </c>
      <c r="K425">
        <f t="shared" si="37"/>
        <v>9.1705001831054681E-3</v>
      </c>
      <c r="M425">
        <v>1</v>
      </c>
      <c r="N425">
        <f t="shared" si="38"/>
        <v>1.8341000366210937E-3</v>
      </c>
      <c r="P425">
        <v>0</v>
      </c>
      <c r="Q425">
        <f t="shared" si="39"/>
        <v>0</v>
      </c>
      <c r="S425">
        <v>8</v>
      </c>
      <c r="T425">
        <f t="shared" si="40"/>
        <v>1.467280029296875E-2</v>
      </c>
      <c r="V425">
        <f>_xlfn.XLOOKUP(B425,[1]Sheet1!$B:$B,[1]Sheet1!$C:$C,0,0,1)</f>
        <v>0</v>
      </c>
      <c r="W425">
        <f t="shared" si="41"/>
        <v>0</v>
      </c>
    </row>
    <row r="426" spans="1:23" x14ac:dyDescent="0.2">
      <c r="A426">
        <v>86136</v>
      </c>
      <c r="B426" t="s">
        <v>785</v>
      </c>
      <c r="C426">
        <v>34798</v>
      </c>
      <c r="D426" t="s">
        <v>786</v>
      </c>
      <c r="E426" s="6">
        <v>87.720001220703125</v>
      </c>
      <c r="G426">
        <v>1</v>
      </c>
      <c r="H426">
        <f t="shared" si="36"/>
        <v>8.7720001220703125E-4</v>
      </c>
      <c r="J426">
        <v>0</v>
      </c>
      <c r="K426">
        <f t="shared" si="37"/>
        <v>0</v>
      </c>
      <c r="M426">
        <v>3</v>
      </c>
      <c r="N426">
        <f t="shared" si="38"/>
        <v>2.6316000366210937E-3</v>
      </c>
      <c r="P426">
        <v>13</v>
      </c>
      <c r="Q426">
        <f t="shared" si="39"/>
        <v>1.1403600158691407E-2</v>
      </c>
      <c r="S426">
        <v>2</v>
      </c>
      <c r="T426">
        <f t="shared" si="40"/>
        <v>1.7544000244140625E-3</v>
      </c>
      <c r="V426">
        <f>_xlfn.XLOOKUP(B426,[1]Sheet1!$B:$B,[1]Sheet1!$C:$C,0,0,1)</f>
        <v>0</v>
      </c>
      <c r="W426">
        <f t="shared" si="41"/>
        <v>0</v>
      </c>
    </row>
    <row r="427" spans="1:23" x14ac:dyDescent="0.2">
      <c r="A427">
        <v>86158</v>
      </c>
      <c r="B427" t="s">
        <v>787</v>
      </c>
      <c r="C427">
        <v>16167</v>
      </c>
      <c r="D427" t="s">
        <v>788</v>
      </c>
      <c r="E427" s="6">
        <v>76.900001525878906</v>
      </c>
      <c r="G427">
        <v>2</v>
      </c>
      <c r="H427">
        <f t="shared" si="36"/>
        <v>1.5380000305175781E-3</v>
      </c>
      <c r="J427">
        <v>0</v>
      </c>
      <c r="K427">
        <f t="shared" si="37"/>
        <v>0</v>
      </c>
      <c r="M427">
        <v>2</v>
      </c>
      <c r="N427">
        <f t="shared" si="38"/>
        <v>1.5380000305175781E-3</v>
      </c>
      <c r="P427">
        <v>0</v>
      </c>
      <c r="Q427">
        <f t="shared" si="39"/>
        <v>0</v>
      </c>
      <c r="S427">
        <v>0</v>
      </c>
      <c r="T427">
        <f t="shared" si="40"/>
        <v>0</v>
      </c>
      <c r="V427">
        <f>_xlfn.XLOOKUP(B427,[1]Sheet1!$B:$B,[1]Sheet1!$C:$C,0,0,1)</f>
        <v>0</v>
      </c>
      <c r="W427">
        <f t="shared" si="41"/>
        <v>0</v>
      </c>
    </row>
    <row r="428" spans="1:23" x14ac:dyDescent="0.2">
      <c r="A428">
        <v>86228</v>
      </c>
      <c r="B428" t="s">
        <v>789</v>
      </c>
      <c r="C428">
        <v>34838</v>
      </c>
      <c r="D428" t="s">
        <v>790</v>
      </c>
      <c r="E428" s="6">
        <v>201.17999267578125</v>
      </c>
      <c r="G428">
        <v>1</v>
      </c>
      <c r="H428">
        <f t="shared" si="36"/>
        <v>2.0117999267578123E-3</v>
      </c>
      <c r="J428">
        <v>3</v>
      </c>
      <c r="K428">
        <f t="shared" si="37"/>
        <v>6.0353997802734373E-3</v>
      </c>
      <c r="M428">
        <v>1</v>
      </c>
      <c r="N428">
        <f t="shared" si="38"/>
        <v>2.0117999267578123E-3</v>
      </c>
      <c r="P428">
        <v>0</v>
      </c>
      <c r="Q428">
        <f t="shared" si="39"/>
        <v>0</v>
      </c>
      <c r="S428">
        <v>3</v>
      </c>
      <c r="T428">
        <f t="shared" si="40"/>
        <v>6.0353997802734373E-3</v>
      </c>
      <c r="V428">
        <f>_xlfn.XLOOKUP(B428,[1]Sheet1!$B:$B,[1]Sheet1!$C:$C,0,0,1)</f>
        <v>0</v>
      </c>
      <c r="W428">
        <f t="shared" si="41"/>
        <v>0</v>
      </c>
    </row>
    <row r="429" spans="1:23" x14ac:dyDescent="0.2">
      <c r="A429">
        <v>86288</v>
      </c>
      <c r="B429" t="s">
        <v>791</v>
      </c>
      <c r="C429">
        <v>16188</v>
      </c>
      <c r="D429" t="s">
        <v>792</v>
      </c>
      <c r="E429" s="6">
        <v>71.589996337890625</v>
      </c>
      <c r="G429">
        <v>0</v>
      </c>
      <c r="H429">
        <f t="shared" si="36"/>
        <v>0</v>
      </c>
      <c r="J429">
        <v>0</v>
      </c>
      <c r="K429">
        <f t="shared" si="37"/>
        <v>0</v>
      </c>
      <c r="M429">
        <v>3</v>
      </c>
      <c r="N429">
        <f t="shared" si="38"/>
        <v>2.1476998901367186E-3</v>
      </c>
      <c r="P429">
        <v>0</v>
      </c>
      <c r="Q429">
        <f t="shared" si="39"/>
        <v>0</v>
      </c>
      <c r="S429">
        <v>3</v>
      </c>
      <c r="T429">
        <f t="shared" si="40"/>
        <v>2.1476998901367186E-3</v>
      </c>
      <c r="V429">
        <f>_xlfn.XLOOKUP(B429,[1]Sheet1!$B:$B,[1]Sheet1!$C:$C,0,0,1)</f>
        <v>0</v>
      </c>
      <c r="W429">
        <f t="shared" si="41"/>
        <v>0</v>
      </c>
    </row>
    <row r="430" spans="1:23" x14ac:dyDescent="0.2">
      <c r="A430">
        <v>86339</v>
      </c>
      <c r="B430" t="s">
        <v>793</v>
      </c>
      <c r="C430">
        <v>16268</v>
      </c>
      <c r="D430" t="s">
        <v>794</v>
      </c>
      <c r="E430" s="6">
        <v>90.760002136230469</v>
      </c>
      <c r="G430">
        <v>0</v>
      </c>
      <c r="H430">
        <f t="shared" si="36"/>
        <v>0</v>
      </c>
      <c r="J430">
        <v>0</v>
      </c>
      <c r="K430">
        <f t="shared" si="37"/>
        <v>0</v>
      </c>
      <c r="M430">
        <v>2</v>
      </c>
      <c r="N430">
        <f t="shared" si="38"/>
        <v>1.8152000427246093E-3</v>
      </c>
      <c r="P430">
        <v>0</v>
      </c>
      <c r="Q430">
        <f t="shared" si="39"/>
        <v>0</v>
      </c>
      <c r="S430">
        <v>0</v>
      </c>
      <c r="T430">
        <f t="shared" si="40"/>
        <v>0</v>
      </c>
      <c r="V430">
        <f>_xlfn.XLOOKUP(B430,[1]Sheet1!$B:$B,[1]Sheet1!$C:$C,0,0,1)</f>
        <v>0</v>
      </c>
      <c r="W430">
        <f t="shared" si="41"/>
        <v>0</v>
      </c>
    </row>
    <row r="431" spans="1:23" x14ac:dyDescent="0.2">
      <c r="A431">
        <v>86356</v>
      </c>
      <c r="B431" t="s">
        <v>795</v>
      </c>
      <c r="C431">
        <v>16285</v>
      </c>
      <c r="D431" t="s">
        <v>796</v>
      </c>
      <c r="E431" s="6">
        <v>61.950000762939453</v>
      </c>
      <c r="G431">
        <v>3</v>
      </c>
      <c r="H431">
        <f t="shared" si="36"/>
        <v>1.8585000228881837E-3</v>
      </c>
      <c r="J431">
        <v>0</v>
      </c>
      <c r="K431">
        <f t="shared" si="37"/>
        <v>0</v>
      </c>
      <c r="M431">
        <v>2</v>
      </c>
      <c r="N431">
        <f t="shared" si="38"/>
        <v>1.2390000152587891E-3</v>
      </c>
      <c r="P431">
        <v>0</v>
      </c>
      <c r="Q431">
        <f t="shared" si="39"/>
        <v>0</v>
      </c>
      <c r="S431">
        <v>0</v>
      </c>
      <c r="T431">
        <f t="shared" si="40"/>
        <v>0</v>
      </c>
      <c r="V431">
        <f>_xlfn.XLOOKUP(B431,[1]Sheet1!$B:$B,[1]Sheet1!$C:$C,0,0,1)</f>
        <v>0</v>
      </c>
      <c r="W431">
        <f t="shared" si="41"/>
        <v>0</v>
      </c>
    </row>
    <row r="432" spans="1:23" x14ac:dyDescent="0.2">
      <c r="A432">
        <v>86580</v>
      </c>
      <c r="B432" t="s">
        <v>797</v>
      </c>
      <c r="C432">
        <v>16382</v>
      </c>
      <c r="D432" t="s">
        <v>798</v>
      </c>
      <c r="E432" s="6">
        <v>134.28999328613281</v>
      </c>
      <c r="G432">
        <v>24</v>
      </c>
      <c r="H432">
        <f t="shared" si="36"/>
        <v>3.2229598388671878E-2</v>
      </c>
      <c r="J432">
        <v>3</v>
      </c>
      <c r="K432">
        <f t="shared" si="37"/>
        <v>4.0286997985839847E-3</v>
      </c>
      <c r="M432">
        <v>1</v>
      </c>
      <c r="N432">
        <f t="shared" si="38"/>
        <v>1.3428999328613282E-3</v>
      </c>
      <c r="P432">
        <v>0</v>
      </c>
      <c r="Q432">
        <f t="shared" si="39"/>
        <v>0</v>
      </c>
      <c r="S432">
        <v>2</v>
      </c>
      <c r="T432">
        <f t="shared" si="40"/>
        <v>2.6857998657226563E-3</v>
      </c>
      <c r="V432">
        <f>_xlfn.XLOOKUP(B432,[1]Sheet1!$B:$B,[1]Sheet1!$C:$C,0,0,1)</f>
        <v>0</v>
      </c>
      <c r="W432">
        <f t="shared" si="41"/>
        <v>0</v>
      </c>
    </row>
    <row r="433" spans="1:23" x14ac:dyDescent="0.2">
      <c r="A433">
        <v>86783</v>
      </c>
      <c r="B433" t="s">
        <v>799</v>
      </c>
      <c r="C433">
        <v>16454</v>
      </c>
      <c r="D433" t="s">
        <v>800</v>
      </c>
      <c r="E433" s="6">
        <v>4968.419921875</v>
      </c>
      <c r="G433">
        <v>0</v>
      </c>
      <c r="H433">
        <f t="shared" si="36"/>
        <v>0</v>
      </c>
      <c r="J433">
        <v>0</v>
      </c>
      <c r="K433">
        <f t="shared" si="37"/>
        <v>0</v>
      </c>
      <c r="M433">
        <v>0</v>
      </c>
      <c r="N433">
        <f t="shared" si="38"/>
        <v>0</v>
      </c>
      <c r="P433">
        <v>0</v>
      </c>
      <c r="Q433">
        <f t="shared" si="39"/>
        <v>0</v>
      </c>
      <c r="S433">
        <v>0</v>
      </c>
      <c r="T433">
        <f t="shared" si="40"/>
        <v>0</v>
      </c>
      <c r="V433">
        <f>_xlfn.XLOOKUP(B433,[1]Sheet1!$B:$B,[1]Sheet1!$C:$C,0,0,1)</f>
        <v>0</v>
      </c>
      <c r="W433">
        <f t="shared" si="41"/>
        <v>0</v>
      </c>
    </row>
    <row r="434" spans="1:23" x14ac:dyDescent="0.2">
      <c r="A434">
        <v>86868</v>
      </c>
      <c r="B434" t="s">
        <v>801</v>
      </c>
      <c r="C434">
        <v>35048</v>
      </c>
      <c r="D434" t="s">
        <v>802</v>
      </c>
      <c r="E434" s="6">
        <v>572.6199951171875</v>
      </c>
      <c r="G434">
        <v>0</v>
      </c>
      <c r="H434">
        <f t="shared" si="36"/>
        <v>0</v>
      </c>
      <c r="J434">
        <v>0</v>
      </c>
      <c r="K434">
        <f t="shared" si="37"/>
        <v>0</v>
      </c>
      <c r="M434">
        <v>0</v>
      </c>
      <c r="N434">
        <f t="shared" si="38"/>
        <v>0</v>
      </c>
      <c r="P434">
        <v>2</v>
      </c>
      <c r="Q434">
        <f t="shared" si="39"/>
        <v>1.145239990234375E-2</v>
      </c>
      <c r="S434">
        <v>0</v>
      </c>
      <c r="T434">
        <f t="shared" si="40"/>
        <v>0</v>
      </c>
      <c r="V434">
        <f>_xlfn.XLOOKUP(B434,[1]Sheet1!$B:$B,[1]Sheet1!$C:$C,0,0,1)</f>
        <v>0</v>
      </c>
      <c r="W434">
        <f t="shared" si="41"/>
        <v>0</v>
      </c>
    </row>
    <row r="435" spans="1:23" x14ac:dyDescent="0.2">
      <c r="A435">
        <v>86964</v>
      </c>
      <c r="B435" t="s">
        <v>803</v>
      </c>
      <c r="C435">
        <v>16561</v>
      </c>
      <c r="D435" t="s">
        <v>804</v>
      </c>
      <c r="E435" s="6">
        <v>251.47000122070312</v>
      </c>
      <c r="G435">
        <v>1</v>
      </c>
      <c r="H435">
        <f t="shared" si="36"/>
        <v>2.5147000122070313E-3</v>
      </c>
      <c r="J435">
        <v>0</v>
      </c>
      <c r="K435">
        <f t="shared" si="37"/>
        <v>0</v>
      </c>
      <c r="M435">
        <v>0</v>
      </c>
      <c r="N435">
        <f t="shared" si="38"/>
        <v>0</v>
      </c>
      <c r="P435">
        <v>3</v>
      </c>
      <c r="Q435">
        <f t="shared" si="39"/>
        <v>7.5441000366210939E-3</v>
      </c>
      <c r="S435">
        <v>0</v>
      </c>
      <c r="T435">
        <f t="shared" si="40"/>
        <v>0</v>
      </c>
      <c r="V435">
        <f>_xlfn.XLOOKUP(B435,[1]Sheet1!$B:$B,[1]Sheet1!$C:$C,0,0,1)</f>
        <v>0</v>
      </c>
      <c r="W435">
        <f t="shared" si="41"/>
        <v>0</v>
      </c>
    </row>
    <row r="436" spans="1:23" x14ac:dyDescent="0.2">
      <c r="A436">
        <v>86979</v>
      </c>
      <c r="B436" t="s">
        <v>805</v>
      </c>
      <c r="C436">
        <v>16614</v>
      </c>
      <c r="D436" t="s">
        <v>806</v>
      </c>
      <c r="E436" s="6">
        <v>37.450000762939453</v>
      </c>
      <c r="G436">
        <v>2</v>
      </c>
      <c r="H436">
        <f t="shared" si="36"/>
        <v>7.4900001525878902E-4</v>
      </c>
      <c r="J436">
        <v>15</v>
      </c>
      <c r="K436">
        <f t="shared" si="37"/>
        <v>5.6175001144409178E-3</v>
      </c>
      <c r="M436">
        <v>7</v>
      </c>
      <c r="N436">
        <f t="shared" si="38"/>
        <v>2.6215000534057617E-3</v>
      </c>
      <c r="P436">
        <v>0</v>
      </c>
      <c r="Q436">
        <f t="shared" si="39"/>
        <v>0</v>
      </c>
      <c r="S436">
        <v>25</v>
      </c>
      <c r="T436">
        <f t="shared" si="40"/>
        <v>9.362500190734863E-3</v>
      </c>
      <c r="V436">
        <f>_xlfn.XLOOKUP(B436,[1]Sheet1!$B:$B,[1]Sheet1!$C:$C,0,0,1)</f>
        <v>1</v>
      </c>
      <c r="W436">
        <f t="shared" si="41"/>
        <v>3.7450000762939451E-4</v>
      </c>
    </row>
    <row r="437" spans="1:23" x14ac:dyDescent="0.2">
      <c r="A437">
        <v>86996</v>
      </c>
      <c r="B437" t="s">
        <v>807</v>
      </c>
      <c r="C437">
        <v>16584</v>
      </c>
      <c r="D437" t="s">
        <v>808</v>
      </c>
      <c r="E437" s="6">
        <v>203.80000305175781</v>
      </c>
      <c r="G437">
        <v>0</v>
      </c>
      <c r="H437">
        <f t="shared" si="36"/>
        <v>0</v>
      </c>
      <c r="J437">
        <v>0</v>
      </c>
      <c r="K437">
        <f t="shared" si="37"/>
        <v>0</v>
      </c>
      <c r="M437">
        <v>1</v>
      </c>
      <c r="N437">
        <f t="shared" si="38"/>
        <v>2.0380000305175779E-3</v>
      </c>
      <c r="P437">
        <v>0</v>
      </c>
      <c r="Q437">
        <f t="shared" si="39"/>
        <v>0</v>
      </c>
      <c r="S437">
        <v>0</v>
      </c>
      <c r="T437">
        <f t="shared" si="40"/>
        <v>0</v>
      </c>
      <c r="V437">
        <f>_xlfn.XLOOKUP(B437,[1]Sheet1!$B:$B,[1]Sheet1!$C:$C,0,0,1)</f>
        <v>0</v>
      </c>
      <c r="W437">
        <f t="shared" si="41"/>
        <v>0</v>
      </c>
    </row>
    <row r="438" spans="1:23" x14ac:dyDescent="0.2">
      <c r="A438">
        <v>87055</v>
      </c>
      <c r="B438" t="s">
        <v>809</v>
      </c>
      <c r="C438">
        <v>7882</v>
      </c>
      <c r="D438" t="s">
        <v>810</v>
      </c>
      <c r="E438" s="6">
        <v>916.27001953125</v>
      </c>
      <c r="G438">
        <v>0</v>
      </c>
      <c r="H438">
        <f t="shared" si="36"/>
        <v>0</v>
      </c>
      <c r="J438">
        <v>0</v>
      </c>
      <c r="K438">
        <f t="shared" si="37"/>
        <v>0</v>
      </c>
      <c r="M438">
        <v>0</v>
      </c>
      <c r="N438">
        <f t="shared" si="38"/>
        <v>0</v>
      </c>
      <c r="P438">
        <v>1</v>
      </c>
      <c r="Q438">
        <f t="shared" si="39"/>
        <v>9.1627001953124999E-3</v>
      </c>
      <c r="S438">
        <v>0</v>
      </c>
      <c r="T438">
        <f t="shared" si="40"/>
        <v>0</v>
      </c>
      <c r="V438">
        <f>_xlfn.XLOOKUP(B438,[1]Sheet1!$B:$B,[1]Sheet1!$C:$C,0,0,1)</f>
        <v>0</v>
      </c>
      <c r="W438">
        <f t="shared" si="41"/>
        <v>0</v>
      </c>
    </row>
    <row r="439" spans="1:23" x14ac:dyDescent="0.2">
      <c r="A439">
        <v>87137</v>
      </c>
      <c r="B439" t="s">
        <v>811</v>
      </c>
      <c r="C439">
        <v>35222</v>
      </c>
      <c r="D439" t="s">
        <v>812</v>
      </c>
      <c r="E439" s="6">
        <v>32.729999542236328</v>
      </c>
      <c r="G439">
        <v>0</v>
      </c>
      <c r="H439">
        <f t="shared" si="36"/>
        <v>0</v>
      </c>
      <c r="J439">
        <v>0</v>
      </c>
      <c r="K439">
        <f t="shared" si="37"/>
        <v>0</v>
      </c>
      <c r="M439">
        <v>8</v>
      </c>
      <c r="N439">
        <f t="shared" si="38"/>
        <v>2.6183999633789061E-3</v>
      </c>
      <c r="P439">
        <v>0</v>
      </c>
      <c r="Q439">
        <f t="shared" si="39"/>
        <v>0</v>
      </c>
      <c r="S439">
        <v>1</v>
      </c>
      <c r="T439">
        <f t="shared" si="40"/>
        <v>3.2729999542236327E-4</v>
      </c>
      <c r="V439">
        <f>_xlfn.XLOOKUP(B439,[1]Sheet1!$B:$B,[1]Sheet1!$C:$C,0,0,1)</f>
        <v>0</v>
      </c>
      <c r="W439">
        <f t="shared" si="41"/>
        <v>0</v>
      </c>
    </row>
    <row r="440" spans="1:23" x14ac:dyDescent="0.2">
      <c r="A440">
        <v>87267</v>
      </c>
      <c r="B440" t="s">
        <v>813</v>
      </c>
      <c r="C440">
        <v>36336</v>
      </c>
      <c r="D440" t="s">
        <v>1045</v>
      </c>
      <c r="E440" s="6">
        <v>1025.1099853515625</v>
      </c>
      <c r="G440">
        <v>0</v>
      </c>
      <c r="H440">
        <f t="shared" si="36"/>
        <v>0</v>
      </c>
      <c r="J440">
        <v>0</v>
      </c>
      <c r="K440">
        <f t="shared" si="37"/>
        <v>0</v>
      </c>
      <c r="M440">
        <v>0</v>
      </c>
      <c r="N440">
        <f t="shared" si="38"/>
        <v>0</v>
      </c>
      <c r="P440">
        <v>1</v>
      </c>
      <c r="Q440">
        <f t="shared" si="39"/>
        <v>1.0251099853515626E-2</v>
      </c>
      <c r="S440">
        <v>0</v>
      </c>
      <c r="T440">
        <f t="shared" si="40"/>
        <v>0</v>
      </c>
      <c r="V440">
        <f>_xlfn.XLOOKUP(B440,[1]Sheet1!$B:$B,[1]Sheet1!$C:$C,0,0,1)</f>
        <v>0</v>
      </c>
      <c r="W440">
        <f t="shared" si="41"/>
        <v>0</v>
      </c>
    </row>
    <row r="441" spans="1:23" x14ac:dyDescent="0.2">
      <c r="A441">
        <v>87299</v>
      </c>
      <c r="B441" t="s">
        <v>814</v>
      </c>
      <c r="C441">
        <v>17300</v>
      </c>
      <c r="D441" t="s">
        <v>815</v>
      </c>
      <c r="E441" s="6">
        <v>95.650001525878906</v>
      </c>
      <c r="G441">
        <v>1</v>
      </c>
      <c r="H441">
        <f t="shared" si="36"/>
        <v>9.5650001525878902E-4</v>
      </c>
      <c r="J441">
        <v>12</v>
      </c>
      <c r="K441">
        <f t="shared" si="37"/>
        <v>1.1478000183105469E-2</v>
      </c>
      <c r="M441">
        <v>2</v>
      </c>
      <c r="N441">
        <f t="shared" si="38"/>
        <v>1.913000030517578E-3</v>
      </c>
      <c r="P441">
        <v>0</v>
      </c>
      <c r="Q441">
        <f t="shared" si="39"/>
        <v>0</v>
      </c>
      <c r="S441">
        <v>9</v>
      </c>
      <c r="T441">
        <f t="shared" si="40"/>
        <v>8.608500137329101E-3</v>
      </c>
      <c r="V441">
        <f>_xlfn.XLOOKUP(B441,[1]Sheet1!$B:$B,[1]Sheet1!$C:$C,0,0,1)</f>
        <v>0</v>
      </c>
      <c r="W441">
        <f t="shared" si="41"/>
        <v>0</v>
      </c>
    </row>
    <row r="442" spans="1:23" x14ac:dyDescent="0.2">
      <c r="A442">
        <v>87432</v>
      </c>
      <c r="B442" t="s">
        <v>816</v>
      </c>
      <c r="C442">
        <v>36364</v>
      </c>
      <c r="D442" t="s">
        <v>817</v>
      </c>
      <c r="E442" s="6">
        <v>134.33999633789062</v>
      </c>
      <c r="G442">
        <v>0</v>
      </c>
      <c r="H442">
        <f t="shared" si="36"/>
        <v>0</v>
      </c>
      <c r="J442">
        <v>1</v>
      </c>
      <c r="K442">
        <f t="shared" si="37"/>
        <v>1.3433999633789063E-3</v>
      </c>
      <c r="M442">
        <v>1</v>
      </c>
      <c r="N442">
        <f t="shared" si="38"/>
        <v>1.3433999633789063E-3</v>
      </c>
      <c r="P442">
        <v>0</v>
      </c>
      <c r="Q442">
        <f t="shared" si="39"/>
        <v>0</v>
      </c>
      <c r="S442">
        <v>1</v>
      </c>
      <c r="T442">
        <f t="shared" si="40"/>
        <v>1.3433999633789063E-3</v>
      </c>
      <c r="V442">
        <f>_xlfn.XLOOKUP(B442,[1]Sheet1!$B:$B,[1]Sheet1!$C:$C,0,0,1)</f>
        <v>0</v>
      </c>
      <c r="W442">
        <f t="shared" si="41"/>
        <v>0</v>
      </c>
    </row>
    <row r="443" spans="1:23" x14ac:dyDescent="0.2">
      <c r="A443">
        <v>87445</v>
      </c>
      <c r="B443" t="s">
        <v>818</v>
      </c>
      <c r="C443">
        <v>36380</v>
      </c>
      <c r="D443" t="s">
        <v>819</v>
      </c>
      <c r="E443" s="6">
        <v>464.1300048828125</v>
      </c>
      <c r="G443">
        <v>0</v>
      </c>
      <c r="H443">
        <f t="shared" si="36"/>
        <v>0</v>
      </c>
      <c r="J443">
        <v>0</v>
      </c>
      <c r="K443">
        <f t="shared" si="37"/>
        <v>0</v>
      </c>
      <c r="M443">
        <v>0</v>
      </c>
      <c r="N443">
        <f t="shared" si="38"/>
        <v>0</v>
      </c>
      <c r="P443">
        <v>0</v>
      </c>
      <c r="Q443">
        <f t="shared" si="39"/>
        <v>0</v>
      </c>
      <c r="S443">
        <v>0</v>
      </c>
      <c r="T443">
        <f t="shared" si="40"/>
        <v>0</v>
      </c>
      <c r="V443">
        <f>_xlfn.XLOOKUP(B443,[1]Sheet1!$B:$B,[1]Sheet1!$C:$C,0,0,1)</f>
        <v>0</v>
      </c>
      <c r="W443">
        <f t="shared" si="41"/>
        <v>0</v>
      </c>
    </row>
    <row r="444" spans="1:23" x14ac:dyDescent="0.2">
      <c r="A444">
        <v>87447</v>
      </c>
      <c r="B444" t="s">
        <v>820</v>
      </c>
      <c r="C444">
        <v>36383</v>
      </c>
      <c r="D444" t="s">
        <v>821</v>
      </c>
      <c r="E444" s="6">
        <v>126.09999847412109</v>
      </c>
      <c r="G444">
        <v>0</v>
      </c>
      <c r="H444">
        <f t="shared" si="36"/>
        <v>0</v>
      </c>
      <c r="J444">
        <v>0</v>
      </c>
      <c r="K444">
        <f t="shared" si="37"/>
        <v>0</v>
      </c>
      <c r="M444">
        <v>2</v>
      </c>
      <c r="N444">
        <f t="shared" si="38"/>
        <v>2.5219999694824219E-3</v>
      </c>
      <c r="P444">
        <v>0</v>
      </c>
      <c r="Q444">
        <f t="shared" si="39"/>
        <v>0</v>
      </c>
      <c r="S444">
        <v>0</v>
      </c>
      <c r="T444">
        <f t="shared" si="40"/>
        <v>0</v>
      </c>
      <c r="V444">
        <f>_xlfn.XLOOKUP(B444,[1]Sheet1!$B:$B,[1]Sheet1!$C:$C,0,0,1)</f>
        <v>0</v>
      </c>
      <c r="W444">
        <f t="shared" si="41"/>
        <v>0</v>
      </c>
    </row>
    <row r="445" spans="1:23" x14ac:dyDescent="0.2">
      <c r="A445">
        <v>87541</v>
      </c>
      <c r="B445" t="s">
        <v>822</v>
      </c>
      <c r="C445">
        <v>23511</v>
      </c>
      <c r="D445" t="s">
        <v>823</v>
      </c>
      <c r="E445" s="6">
        <v>225.1300048828125</v>
      </c>
      <c r="G445">
        <v>1</v>
      </c>
      <c r="H445">
        <f t="shared" si="36"/>
        <v>2.2513000488281251E-3</v>
      </c>
      <c r="J445">
        <v>0</v>
      </c>
      <c r="K445">
        <f t="shared" si="37"/>
        <v>0</v>
      </c>
      <c r="M445">
        <v>1</v>
      </c>
      <c r="N445">
        <f t="shared" si="38"/>
        <v>2.2513000488281251E-3</v>
      </c>
      <c r="P445">
        <v>0</v>
      </c>
      <c r="Q445">
        <f t="shared" si="39"/>
        <v>0</v>
      </c>
      <c r="S445">
        <v>0</v>
      </c>
      <c r="T445">
        <f t="shared" si="40"/>
        <v>0</v>
      </c>
      <c r="V445">
        <f>_xlfn.XLOOKUP(B445,[1]Sheet1!$B:$B,[1]Sheet1!$C:$C,0,0,1)</f>
        <v>0</v>
      </c>
      <c r="W445">
        <f t="shared" si="41"/>
        <v>0</v>
      </c>
    </row>
    <row r="446" spans="1:23" x14ac:dyDescent="0.2">
      <c r="A446">
        <v>87657</v>
      </c>
      <c r="B446" t="s">
        <v>824</v>
      </c>
      <c r="C446">
        <v>36952</v>
      </c>
      <c r="D446" t="s">
        <v>825</v>
      </c>
      <c r="E446" s="6">
        <v>74.029998779296875</v>
      </c>
      <c r="G446">
        <v>0</v>
      </c>
      <c r="H446">
        <f t="shared" si="36"/>
        <v>0</v>
      </c>
      <c r="J446">
        <v>0</v>
      </c>
      <c r="K446">
        <f t="shared" si="37"/>
        <v>0</v>
      </c>
      <c r="M446">
        <v>2</v>
      </c>
      <c r="N446">
        <f t="shared" si="38"/>
        <v>1.4805999755859375E-3</v>
      </c>
      <c r="P446">
        <v>0</v>
      </c>
      <c r="Q446">
        <f t="shared" si="39"/>
        <v>0</v>
      </c>
      <c r="S446">
        <v>0</v>
      </c>
      <c r="T446">
        <f t="shared" si="40"/>
        <v>0</v>
      </c>
      <c r="V446">
        <f>_xlfn.XLOOKUP(B446,[1]Sheet1!$B:$B,[1]Sheet1!$C:$C,0,0,1)</f>
        <v>0</v>
      </c>
      <c r="W446">
        <f t="shared" si="41"/>
        <v>0</v>
      </c>
    </row>
    <row r="447" spans="1:23" x14ac:dyDescent="0.2">
      <c r="A447">
        <v>87717</v>
      </c>
      <c r="B447" t="s">
        <v>826</v>
      </c>
      <c r="C447">
        <v>7232</v>
      </c>
      <c r="D447" t="s">
        <v>827</v>
      </c>
      <c r="E447" s="6">
        <v>110.76999664306641</v>
      </c>
      <c r="G447">
        <v>0</v>
      </c>
      <c r="H447">
        <f t="shared" si="36"/>
        <v>0</v>
      </c>
      <c r="J447">
        <v>2</v>
      </c>
      <c r="K447">
        <f t="shared" si="37"/>
        <v>2.215399932861328E-3</v>
      </c>
      <c r="M447">
        <v>2</v>
      </c>
      <c r="N447">
        <f t="shared" si="38"/>
        <v>2.215399932861328E-3</v>
      </c>
      <c r="P447">
        <v>0</v>
      </c>
      <c r="Q447">
        <f t="shared" si="39"/>
        <v>0</v>
      </c>
      <c r="S447">
        <v>1</v>
      </c>
      <c r="T447">
        <f t="shared" si="40"/>
        <v>1.107699966430664E-3</v>
      </c>
      <c r="V447">
        <f>_xlfn.XLOOKUP(B447,[1]Sheet1!$B:$B,[1]Sheet1!$C:$C,0,0,1)</f>
        <v>0</v>
      </c>
      <c r="W447">
        <f t="shared" si="41"/>
        <v>0</v>
      </c>
    </row>
    <row r="448" spans="1:23" x14ac:dyDescent="0.2">
      <c r="A448">
        <v>87842</v>
      </c>
      <c r="B448" t="s">
        <v>828</v>
      </c>
      <c r="C448">
        <v>37138</v>
      </c>
      <c r="D448" t="s">
        <v>829</v>
      </c>
      <c r="E448" s="6">
        <v>81.879997253417969</v>
      </c>
      <c r="G448">
        <v>1</v>
      </c>
      <c r="H448">
        <f t="shared" si="36"/>
        <v>8.1879997253417964E-4</v>
      </c>
      <c r="J448">
        <v>6</v>
      </c>
      <c r="K448">
        <f t="shared" si="37"/>
        <v>4.9127998352050785E-3</v>
      </c>
      <c r="M448">
        <v>4</v>
      </c>
      <c r="N448">
        <f t="shared" si="38"/>
        <v>3.2751998901367186E-3</v>
      </c>
      <c r="P448">
        <v>0</v>
      </c>
      <c r="Q448">
        <f t="shared" si="39"/>
        <v>0</v>
      </c>
      <c r="S448">
        <v>8</v>
      </c>
      <c r="T448">
        <f t="shared" si="40"/>
        <v>6.5503997802734372E-3</v>
      </c>
      <c r="V448">
        <f>_xlfn.XLOOKUP(B448,[1]Sheet1!$B:$B,[1]Sheet1!$C:$C,0,0,1)</f>
        <v>0</v>
      </c>
      <c r="W448">
        <f t="shared" si="41"/>
        <v>0</v>
      </c>
    </row>
    <row r="449" spans="1:23" x14ac:dyDescent="0.2">
      <c r="A449">
        <v>88031</v>
      </c>
      <c r="B449" t="s">
        <v>830</v>
      </c>
      <c r="C449">
        <v>7902</v>
      </c>
      <c r="D449" t="s">
        <v>831</v>
      </c>
      <c r="E449" s="6">
        <v>52.560001373291016</v>
      </c>
      <c r="G449">
        <v>0</v>
      </c>
      <c r="H449">
        <f t="shared" si="36"/>
        <v>0</v>
      </c>
      <c r="J449">
        <v>0</v>
      </c>
      <c r="K449">
        <f t="shared" si="37"/>
        <v>0</v>
      </c>
      <c r="M449">
        <v>2</v>
      </c>
      <c r="N449">
        <f t="shared" si="38"/>
        <v>1.0512000274658204E-3</v>
      </c>
      <c r="P449">
        <v>0</v>
      </c>
      <c r="Q449">
        <f t="shared" si="39"/>
        <v>0</v>
      </c>
      <c r="S449">
        <v>0</v>
      </c>
      <c r="T449">
        <f t="shared" si="40"/>
        <v>0</v>
      </c>
      <c r="V449">
        <f>_xlfn.XLOOKUP(B449,[1]Sheet1!$B:$B,[1]Sheet1!$C:$C,0,0,1)</f>
        <v>0</v>
      </c>
      <c r="W449">
        <f t="shared" si="41"/>
        <v>0</v>
      </c>
    </row>
    <row r="450" spans="1:23" x14ac:dyDescent="0.2">
      <c r="A450">
        <v>88182</v>
      </c>
      <c r="B450" t="s">
        <v>832</v>
      </c>
      <c r="C450">
        <v>37176</v>
      </c>
      <c r="D450" t="s">
        <v>833</v>
      </c>
      <c r="E450" s="6">
        <v>63.049999237060547</v>
      </c>
      <c r="G450">
        <v>0</v>
      </c>
      <c r="H450">
        <f t="shared" si="36"/>
        <v>0</v>
      </c>
      <c r="J450">
        <v>1</v>
      </c>
      <c r="K450">
        <f t="shared" si="37"/>
        <v>6.3049999237060547E-4</v>
      </c>
      <c r="M450">
        <v>2</v>
      </c>
      <c r="N450">
        <f t="shared" si="38"/>
        <v>1.2609999847412109E-3</v>
      </c>
      <c r="P450">
        <v>0</v>
      </c>
      <c r="Q450">
        <f t="shared" si="39"/>
        <v>0</v>
      </c>
      <c r="S450">
        <v>4</v>
      </c>
      <c r="T450">
        <f t="shared" si="40"/>
        <v>2.5219999694824219E-3</v>
      </c>
      <c r="V450">
        <f>_xlfn.XLOOKUP(B450,[1]Sheet1!$B:$B,[1]Sheet1!$C:$C,0,0,1)</f>
        <v>0</v>
      </c>
      <c r="W450">
        <f t="shared" si="41"/>
        <v>0</v>
      </c>
    </row>
    <row r="451" spans="1:23" x14ac:dyDescent="0.2">
      <c r="A451">
        <v>88281</v>
      </c>
      <c r="B451" t="s">
        <v>834</v>
      </c>
      <c r="C451">
        <v>37660</v>
      </c>
      <c r="D451" t="s">
        <v>835</v>
      </c>
      <c r="E451" s="6">
        <v>184.60000610351562</v>
      </c>
      <c r="G451">
        <v>0</v>
      </c>
      <c r="H451">
        <f t="shared" si="36"/>
        <v>0</v>
      </c>
      <c r="J451">
        <v>2</v>
      </c>
      <c r="K451">
        <f t="shared" si="37"/>
        <v>3.6920001220703126E-3</v>
      </c>
      <c r="M451">
        <v>0</v>
      </c>
      <c r="N451">
        <f t="shared" si="38"/>
        <v>0</v>
      </c>
      <c r="P451">
        <v>0</v>
      </c>
      <c r="Q451">
        <f t="shared" si="39"/>
        <v>0</v>
      </c>
      <c r="S451">
        <v>1</v>
      </c>
      <c r="T451">
        <f t="shared" si="40"/>
        <v>1.8460000610351563E-3</v>
      </c>
      <c r="V451">
        <f>_xlfn.XLOOKUP(B451,[1]Sheet1!$B:$B,[1]Sheet1!$C:$C,0,0,1)</f>
        <v>0</v>
      </c>
      <c r="W451">
        <f t="shared" si="41"/>
        <v>0</v>
      </c>
    </row>
    <row r="452" spans="1:23" x14ac:dyDescent="0.2">
      <c r="A452">
        <v>88352</v>
      </c>
      <c r="B452" t="s">
        <v>836</v>
      </c>
      <c r="C452">
        <v>37727</v>
      </c>
      <c r="D452" t="s">
        <v>837</v>
      </c>
      <c r="E452" s="6">
        <v>521.96002197265625</v>
      </c>
      <c r="G452">
        <v>1</v>
      </c>
      <c r="H452">
        <f t="shared" si="36"/>
        <v>5.2196002197265629E-3</v>
      </c>
      <c r="J452">
        <v>0</v>
      </c>
      <c r="K452">
        <f t="shared" si="37"/>
        <v>0</v>
      </c>
      <c r="M452">
        <v>0</v>
      </c>
      <c r="N452">
        <f t="shared" si="38"/>
        <v>0</v>
      </c>
      <c r="P452">
        <v>2</v>
      </c>
      <c r="Q452">
        <f t="shared" si="39"/>
        <v>1.0439200439453126E-2</v>
      </c>
      <c r="S452">
        <v>0</v>
      </c>
      <c r="T452">
        <f t="shared" si="40"/>
        <v>0</v>
      </c>
      <c r="V452">
        <f>_xlfn.XLOOKUP(B452,[1]Sheet1!$B:$B,[1]Sheet1!$C:$C,0,0,1)</f>
        <v>0</v>
      </c>
      <c r="W452">
        <f t="shared" si="41"/>
        <v>0</v>
      </c>
    </row>
    <row r="453" spans="1:23" x14ac:dyDescent="0.2">
      <c r="A453">
        <v>88606</v>
      </c>
      <c r="B453" t="s">
        <v>838</v>
      </c>
      <c r="C453">
        <v>39147</v>
      </c>
      <c r="D453" t="s">
        <v>839</v>
      </c>
      <c r="E453" s="6">
        <v>51.139999389648438</v>
      </c>
      <c r="G453">
        <v>2</v>
      </c>
      <c r="H453">
        <f t="shared" si="36"/>
        <v>1.0227999877929687E-3</v>
      </c>
      <c r="J453">
        <v>39</v>
      </c>
      <c r="K453">
        <f t="shared" si="37"/>
        <v>1.9944599761962889E-2</v>
      </c>
      <c r="M453">
        <v>0</v>
      </c>
      <c r="N453">
        <f t="shared" si="38"/>
        <v>0</v>
      </c>
      <c r="P453">
        <v>0</v>
      </c>
      <c r="Q453">
        <f t="shared" si="39"/>
        <v>0</v>
      </c>
      <c r="S453">
        <v>34</v>
      </c>
      <c r="T453">
        <f t="shared" si="40"/>
        <v>1.738759979248047E-2</v>
      </c>
      <c r="V453">
        <f>_xlfn.XLOOKUP(B453,[1]Sheet1!$B:$B,[1]Sheet1!$C:$C,0,0,1)</f>
        <v>1</v>
      </c>
      <c r="W453">
        <f t="shared" si="41"/>
        <v>5.1139999389648437E-4</v>
      </c>
    </row>
    <row r="454" spans="1:23" x14ac:dyDescent="0.2">
      <c r="A454">
        <v>88661</v>
      </c>
      <c r="B454" t="s">
        <v>840</v>
      </c>
      <c r="C454">
        <v>40143</v>
      </c>
      <c r="D454" t="s">
        <v>841</v>
      </c>
      <c r="E454" s="6">
        <v>65.330001831054688</v>
      </c>
      <c r="G454">
        <v>4</v>
      </c>
      <c r="H454">
        <f t="shared" si="36"/>
        <v>2.6132000732421875E-3</v>
      </c>
      <c r="J454">
        <v>0</v>
      </c>
      <c r="K454">
        <f t="shared" si="37"/>
        <v>0</v>
      </c>
      <c r="M454">
        <v>3</v>
      </c>
      <c r="N454">
        <f t="shared" si="38"/>
        <v>1.9599000549316405E-3</v>
      </c>
      <c r="P454">
        <v>7</v>
      </c>
      <c r="Q454">
        <f t="shared" si="39"/>
        <v>4.5731001281738284E-3</v>
      </c>
      <c r="S454">
        <v>0</v>
      </c>
      <c r="T454">
        <f t="shared" si="40"/>
        <v>0</v>
      </c>
      <c r="V454">
        <f>_xlfn.XLOOKUP(B454,[1]Sheet1!$B:$B,[1]Sheet1!$C:$C,0,0,1)</f>
        <v>0</v>
      </c>
      <c r="W454">
        <f t="shared" si="41"/>
        <v>0</v>
      </c>
    </row>
    <row r="455" spans="1:23" x14ac:dyDescent="0.2">
      <c r="A455">
        <v>88664</v>
      </c>
      <c r="B455" t="s">
        <v>842</v>
      </c>
      <c r="C455">
        <v>7864</v>
      </c>
      <c r="D455" t="s">
        <v>843</v>
      </c>
      <c r="E455" s="6">
        <v>175.30000305175781</v>
      </c>
      <c r="G455">
        <v>0</v>
      </c>
      <c r="H455">
        <f t="shared" si="36"/>
        <v>0</v>
      </c>
      <c r="J455">
        <v>2</v>
      </c>
      <c r="K455">
        <f t="shared" si="37"/>
        <v>3.5060000610351561E-3</v>
      </c>
      <c r="M455">
        <v>1</v>
      </c>
      <c r="N455">
        <f t="shared" si="38"/>
        <v>1.753000030517578E-3</v>
      </c>
      <c r="P455">
        <v>0</v>
      </c>
      <c r="Q455">
        <f t="shared" si="39"/>
        <v>0</v>
      </c>
      <c r="S455">
        <v>0</v>
      </c>
      <c r="T455">
        <f t="shared" si="40"/>
        <v>0</v>
      </c>
      <c r="V455">
        <f>_xlfn.XLOOKUP(B455,[1]Sheet1!$B:$B,[1]Sheet1!$C:$C,0,0,1)</f>
        <v>0</v>
      </c>
      <c r="W455">
        <f t="shared" si="41"/>
        <v>0</v>
      </c>
    </row>
    <row r="456" spans="1:23" x14ac:dyDescent="0.2">
      <c r="A456">
        <v>88837</v>
      </c>
      <c r="B456" t="s">
        <v>844</v>
      </c>
      <c r="C456">
        <v>41059</v>
      </c>
      <c r="D456" t="s">
        <v>845</v>
      </c>
      <c r="E456" s="6">
        <v>206.25999450683594</v>
      </c>
      <c r="G456">
        <v>2</v>
      </c>
      <c r="H456">
        <f t="shared" si="36"/>
        <v>4.1251998901367191E-3</v>
      </c>
      <c r="J456">
        <v>0</v>
      </c>
      <c r="K456">
        <f t="shared" si="37"/>
        <v>0</v>
      </c>
      <c r="M456">
        <v>1</v>
      </c>
      <c r="N456">
        <f t="shared" si="38"/>
        <v>2.0625999450683595E-3</v>
      </c>
      <c r="P456">
        <v>4</v>
      </c>
      <c r="Q456">
        <f t="shared" si="39"/>
        <v>8.2503997802734381E-3</v>
      </c>
      <c r="S456">
        <v>0</v>
      </c>
      <c r="T456">
        <f t="shared" si="40"/>
        <v>0</v>
      </c>
      <c r="V456">
        <f>_xlfn.XLOOKUP(B456,[1]Sheet1!$B:$B,[1]Sheet1!$C:$C,0,0,1)</f>
        <v>0</v>
      </c>
      <c r="W456">
        <f t="shared" si="41"/>
        <v>0</v>
      </c>
    </row>
    <row r="457" spans="1:23" x14ac:dyDescent="0.2">
      <c r="A457">
        <v>88860</v>
      </c>
      <c r="B457" t="s">
        <v>846</v>
      </c>
      <c r="C457">
        <v>41154</v>
      </c>
      <c r="D457" t="s">
        <v>847</v>
      </c>
      <c r="E457" s="6">
        <v>208.50999450683594</v>
      </c>
      <c r="G457">
        <v>0</v>
      </c>
      <c r="H457">
        <f t="shared" si="36"/>
        <v>0</v>
      </c>
      <c r="J457">
        <v>0</v>
      </c>
      <c r="K457">
        <f t="shared" si="37"/>
        <v>0</v>
      </c>
      <c r="M457">
        <v>0</v>
      </c>
      <c r="N457">
        <f t="shared" si="38"/>
        <v>0</v>
      </c>
      <c r="P457">
        <v>0</v>
      </c>
      <c r="Q457">
        <f t="shared" si="39"/>
        <v>0</v>
      </c>
      <c r="S457">
        <v>0</v>
      </c>
      <c r="T457">
        <f t="shared" si="40"/>
        <v>0</v>
      </c>
      <c r="V457">
        <f>_xlfn.XLOOKUP(B457,[1]Sheet1!$B:$B,[1]Sheet1!$C:$C,0,0,1)</f>
        <v>0</v>
      </c>
      <c r="W457">
        <f t="shared" si="41"/>
        <v>0</v>
      </c>
    </row>
    <row r="458" spans="1:23" x14ac:dyDescent="0.2">
      <c r="A458">
        <v>88873</v>
      </c>
      <c r="B458" t="s">
        <v>848</v>
      </c>
      <c r="C458">
        <v>41168</v>
      </c>
      <c r="D458" t="s">
        <v>849</v>
      </c>
      <c r="E458" s="6">
        <v>112.05999755859375</v>
      </c>
      <c r="G458">
        <v>0</v>
      </c>
      <c r="H458">
        <f t="shared" si="36"/>
        <v>0</v>
      </c>
      <c r="J458">
        <v>1</v>
      </c>
      <c r="K458">
        <f t="shared" si="37"/>
        <v>1.1205999755859375E-3</v>
      </c>
      <c r="M458">
        <v>2</v>
      </c>
      <c r="N458">
        <f t="shared" si="38"/>
        <v>2.2411999511718749E-3</v>
      </c>
      <c r="P458">
        <v>0</v>
      </c>
      <c r="Q458">
        <f t="shared" si="39"/>
        <v>0</v>
      </c>
      <c r="S458">
        <v>0</v>
      </c>
      <c r="T458">
        <f t="shared" si="40"/>
        <v>0</v>
      </c>
      <c r="V458">
        <f>_xlfn.XLOOKUP(B458,[1]Sheet1!$B:$B,[1]Sheet1!$C:$C,0,0,1)</f>
        <v>0</v>
      </c>
      <c r="W458">
        <f t="shared" si="41"/>
        <v>0</v>
      </c>
    </row>
    <row r="459" spans="1:23" x14ac:dyDescent="0.2">
      <c r="A459">
        <v>89003</v>
      </c>
      <c r="B459" t="s">
        <v>850</v>
      </c>
      <c r="C459">
        <v>41673</v>
      </c>
      <c r="D459" t="s">
        <v>851</v>
      </c>
      <c r="E459" s="6">
        <v>80.769996643066406</v>
      </c>
      <c r="G459">
        <v>1</v>
      </c>
      <c r="H459">
        <f t="shared" si="36"/>
        <v>8.0769996643066406E-4</v>
      </c>
      <c r="J459">
        <v>6</v>
      </c>
      <c r="K459">
        <f t="shared" si="37"/>
        <v>4.8461997985839844E-3</v>
      </c>
      <c r="M459">
        <v>3</v>
      </c>
      <c r="N459">
        <f t="shared" si="38"/>
        <v>2.4230998992919922E-3</v>
      </c>
      <c r="P459">
        <v>0</v>
      </c>
      <c r="Q459">
        <f t="shared" si="39"/>
        <v>0</v>
      </c>
      <c r="S459">
        <v>7</v>
      </c>
      <c r="T459">
        <f t="shared" si="40"/>
        <v>5.6538997650146484E-3</v>
      </c>
      <c r="V459">
        <f>_xlfn.XLOOKUP(B459,[1]Sheet1!$B:$B,[1]Sheet1!$C:$C,0,0,1)</f>
        <v>0</v>
      </c>
      <c r="W459">
        <f t="shared" si="41"/>
        <v>0</v>
      </c>
    </row>
    <row r="460" spans="1:23" x14ac:dyDescent="0.2">
      <c r="A460">
        <v>89006</v>
      </c>
      <c r="B460" t="s">
        <v>852</v>
      </c>
      <c r="C460">
        <v>41680</v>
      </c>
      <c r="D460" t="s">
        <v>853</v>
      </c>
      <c r="E460" s="6">
        <v>59.729999542236328</v>
      </c>
      <c r="G460">
        <v>0</v>
      </c>
      <c r="H460">
        <f t="shared" si="36"/>
        <v>0</v>
      </c>
      <c r="J460">
        <v>13</v>
      </c>
      <c r="K460">
        <f t="shared" si="37"/>
        <v>7.7648999404907231E-3</v>
      </c>
      <c r="M460">
        <v>5</v>
      </c>
      <c r="N460">
        <f t="shared" si="38"/>
        <v>2.9864999771118165E-3</v>
      </c>
      <c r="P460">
        <v>0</v>
      </c>
      <c r="Q460">
        <f t="shared" si="39"/>
        <v>0</v>
      </c>
      <c r="S460">
        <v>0</v>
      </c>
      <c r="T460">
        <f t="shared" si="40"/>
        <v>0</v>
      </c>
      <c r="V460">
        <f>_xlfn.XLOOKUP(B460,[1]Sheet1!$B:$B,[1]Sheet1!$C:$C,0,0,1)</f>
        <v>0</v>
      </c>
      <c r="W460">
        <f t="shared" si="41"/>
        <v>0</v>
      </c>
    </row>
    <row r="461" spans="1:23" x14ac:dyDescent="0.2">
      <c r="A461">
        <v>89017</v>
      </c>
      <c r="B461" t="s">
        <v>854</v>
      </c>
      <c r="C461">
        <v>41694</v>
      </c>
      <c r="D461" t="s">
        <v>855</v>
      </c>
      <c r="E461" s="6">
        <v>313.239990234375</v>
      </c>
      <c r="G461">
        <v>0</v>
      </c>
      <c r="H461">
        <f t="shared" si="36"/>
        <v>0</v>
      </c>
      <c r="J461">
        <v>0</v>
      </c>
      <c r="K461">
        <f t="shared" si="37"/>
        <v>0</v>
      </c>
      <c r="M461">
        <v>1</v>
      </c>
      <c r="N461">
        <f t="shared" si="38"/>
        <v>3.1323999023437502E-3</v>
      </c>
      <c r="P461">
        <v>0</v>
      </c>
      <c r="Q461">
        <f t="shared" si="39"/>
        <v>0</v>
      </c>
      <c r="S461">
        <v>0</v>
      </c>
      <c r="T461">
        <f t="shared" si="40"/>
        <v>0</v>
      </c>
      <c r="V461">
        <f>_xlfn.XLOOKUP(B461,[1]Sheet1!$B:$B,[1]Sheet1!$C:$C,0,0,1)</f>
        <v>0</v>
      </c>
      <c r="W461">
        <f t="shared" si="41"/>
        <v>0</v>
      </c>
    </row>
    <row r="462" spans="1:23" x14ac:dyDescent="0.2">
      <c r="A462">
        <v>89031</v>
      </c>
      <c r="B462" t="s">
        <v>856</v>
      </c>
      <c r="C462">
        <v>41562</v>
      </c>
      <c r="D462" t="s">
        <v>857</v>
      </c>
      <c r="E462" s="6">
        <v>594.32000732421875</v>
      </c>
      <c r="G462">
        <v>2</v>
      </c>
      <c r="H462">
        <f t="shared" si="36"/>
        <v>1.1886400146484375E-2</v>
      </c>
      <c r="J462">
        <v>0</v>
      </c>
      <c r="K462">
        <f t="shared" si="37"/>
        <v>0</v>
      </c>
      <c r="M462">
        <v>0</v>
      </c>
      <c r="N462">
        <f t="shared" si="38"/>
        <v>0</v>
      </c>
      <c r="P462">
        <v>0</v>
      </c>
      <c r="Q462">
        <f t="shared" si="39"/>
        <v>0</v>
      </c>
      <c r="S462">
        <v>0</v>
      </c>
      <c r="T462">
        <f t="shared" si="40"/>
        <v>0</v>
      </c>
      <c r="V462">
        <f>_xlfn.XLOOKUP(B462,[1]Sheet1!$B:$B,[1]Sheet1!$C:$C,0,0,1)</f>
        <v>0</v>
      </c>
      <c r="W462">
        <f t="shared" si="41"/>
        <v>0</v>
      </c>
    </row>
    <row r="463" spans="1:23" x14ac:dyDescent="0.2">
      <c r="A463">
        <v>89070</v>
      </c>
      <c r="B463" t="s">
        <v>858</v>
      </c>
      <c r="C463">
        <v>41870</v>
      </c>
      <c r="D463" t="s">
        <v>859</v>
      </c>
      <c r="E463" s="6">
        <v>105.62999725341797</v>
      </c>
      <c r="G463">
        <v>0</v>
      </c>
      <c r="H463">
        <f t="shared" si="36"/>
        <v>0</v>
      </c>
      <c r="J463">
        <v>0</v>
      </c>
      <c r="K463">
        <f t="shared" si="37"/>
        <v>0</v>
      </c>
      <c r="M463">
        <v>2</v>
      </c>
      <c r="N463">
        <f t="shared" si="38"/>
        <v>2.1125999450683592E-3</v>
      </c>
      <c r="P463">
        <v>0</v>
      </c>
      <c r="Q463">
        <f t="shared" si="39"/>
        <v>0</v>
      </c>
      <c r="S463">
        <v>0</v>
      </c>
      <c r="T463">
        <f t="shared" si="40"/>
        <v>0</v>
      </c>
      <c r="V463">
        <f>_xlfn.XLOOKUP(B463,[1]Sheet1!$B:$B,[1]Sheet1!$C:$C,0,0,1)</f>
        <v>0</v>
      </c>
      <c r="W463">
        <f t="shared" si="41"/>
        <v>0</v>
      </c>
    </row>
    <row r="464" spans="1:23" x14ac:dyDescent="0.2">
      <c r="A464">
        <v>89071</v>
      </c>
      <c r="B464" t="s">
        <v>860</v>
      </c>
      <c r="C464">
        <v>41871</v>
      </c>
      <c r="D464" t="s">
        <v>861</v>
      </c>
      <c r="E464" s="6">
        <v>351.79000854492188</v>
      </c>
      <c r="G464">
        <v>0</v>
      </c>
      <c r="H464">
        <f t="shared" ref="H464:H527" si="42">G464*E464/$C$5</f>
        <v>0</v>
      </c>
      <c r="J464">
        <v>0</v>
      </c>
      <c r="K464">
        <f t="shared" ref="K464:K527" si="43">J464*E464/$C$5</f>
        <v>0</v>
      </c>
      <c r="M464">
        <v>1</v>
      </c>
      <c r="N464">
        <f t="shared" ref="N464:N527" si="44">M464*E464/$C$5</f>
        <v>3.5179000854492189E-3</v>
      </c>
      <c r="P464">
        <v>0</v>
      </c>
      <c r="Q464">
        <f t="shared" ref="Q464:Q527" si="45">P464*E464/$C$5</f>
        <v>0</v>
      </c>
      <c r="S464">
        <v>0</v>
      </c>
      <c r="T464">
        <f t="shared" ref="T464:T527" si="46">S464*E464/$C$5</f>
        <v>0</v>
      </c>
      <c r="V464">
        <f>_xlfn.XLOOKUP(B464,[1]Sheet1!$B:$B,[1]Sheet1!$C:$C,0,0,1)</f>
        <v>0</v>
      </c>
      <c r="W464">
        <f t="shared" ref="W464:W527" si="47">V464*E464/$C$5</f>
        <v>0</v>
      </c>
    </row>
    <row r="465" spans="1:23" x14ac:dyDescent="0.2">
      <c r="A465">
        <v>89138</v>
      </c>
      <c r="B465" t="s">
        <v>862</v>
      </c>
      <c r="C465">
        <v>42007</v>
      </c>
      <c r="D465" t="s">
        <v>863</v>
      </c>
      <c r="E465" s="6">
        <v>77.760002136230469</v>
      </c>
      <c r="G465">
        <v>0</v>
      </c>
      <c r="H465">
        <f t="shared" si="42"/>
        <v>0</v>
      </c>
      <c r="J465">
        <v>0</v>
      </c>
      <c r="K465">
        <f t="shared" si="43"/>
        <v>0</v>
      </c>
      <c r="M465">
        <v>4</v>
      </c>
      <c r="N465">
        <f t="shared" si="44"/>
        <v>3.1104000854492186E-3</v>
      </c>
      <c r="P465">
        <v>0</v>
      </c>
      <c r="Q465">
        <f t="shared" si="45"/>
        <v>0</v>
      </c>
      <c r="S465">
        <v>0</v>
      </c>
      <c r="T465">
        <f t="shared" si="46"/>
        <v>0</v>
      </c>
      <c r="V465">
        <f>_xlfn.XLOOKUP(B465,[1]Sheet1!$B:$B,[1]Sheet1!$C:$C,0,0,1)</f>
        <v>0</v>
      </c>
      <c r="W465">
        <f t="shared" si="47"/>
        <v>0</v>
      </c>
    </row>
    <row r="466" spans="1:23" x14ac:dyDescent="0.2">
      <c r="A466">
        <v>89155</v>
      </c>
      <c r="B466" t="s">
        <v>444</v>
      </c>
      <c r="C466">
        <v>2801</v>
      </c>
      <c r="D466" t="s">
        <v>445</v>
      </c>
      <c r="E466" s="6">
        <v>75.800003051757812</v>
      </c>
      <c r="G466">
        <v>0</v>
      </c>
      <c r="H466">
        <f t="shared" si="42"/>
        <v>0</v>
      </c>
      <c r="J466">
        <v>12</v>
      </c>
      <c r="K466">
        <f t="shared" si="43"/>
        <v>9.0960003662109382E-3</v>
      </c>
      <c r="M466">
        <v>3</v>
      </c>
      <c r="N466">
        <f t="shared" si="44"/>
        <v>2.2740000915527346E-3</v>
      </c>
      <c r="P466">
        <v>0</v>
      </c>
      <c r="Q466">
        <f t="shared" si="45"/>
        <v>0</v>
      </c>
      <c r="S466">
        <v>10</v>
      </c>
      <c r="T466">
        <f t="shared" si="46"/>
        <v>7.5800003051757813E-3</v>
      </c>
      <c r="V466">
        <f>_xlfn.XLOOKUP(B466,[1]Sheet1!$B:$B,[1]Sheet1!$C:$C,0,0,1)</f>
        <v>0</v>
      </c>
      <c r="W466">
        <f t="shared" si="47"/>
        <v>0</v>
      </c>
    </row>
    <row r="467" spans="1:23" x14ac:dyDescent="0.2">
      <c r="A467">
        <v>89179</v>
      </c>
      <c r="B467" t="s">
        <v>864</v>
      </c>
      <c r="C467">
        <v>42273</v>
      </c>
      <c r="D467" t="s">
        <v>865</v>
      </c>
      <c r="E467" s="6">
        <v>368.89999389648438</v>
      </c>
      <c r="G467">
        <v>0</v>
      </c>
      <c r="H467">
        <f t="shared" si="42"/>
        <v>0</v>
      </c>
      <c r="J467">
        <v>0</v>
      </c>
      <c r="K467">
        <f t="shared" si="43"/>
        <v>0</v>
      </c>
      <c r="M467">
        <v>0</v>
      </c>
      <c r="N467">
        <f t="shared" si="44"/>
        <v>0</v>
      </c>
      <c r="P467">
        <v>0</v>
      </c>
      <c r="Q467">
        <f t="shared" si="45"/>
        <v>0</v>
      </c>
      <c r="S467">
        <v>0</v>
      </c>
      <c r="T467">
        <f t="shared" si="46"/>
        <v>0</v>
      </c>
      <c r="V467">
        <f>_xlfn.XLOOKUP(B467,[1]Sheet1!$B:$B,[1]Sheet1!$C:$C,0,0,1)</f>
        <v>0</v>
      </c>
      <c r="W467">
        <f t="shared" si="47"/>
        <v>0</v>
      </c>
    </row>
    <row r="468" spans="1:23" x14ac:dyDescent="0.2">
      <c r="A468">
        <v>89195</v>
      </c>
      <c r="B468" t="s">
        <v>866</v>
      </c>
      <c r="C468">
        <v>42285</v>
      </c>
      <c r="D468" t="s">
        <v>867</v>
      </c>
      <c r="E468" s="6">
        <v>77.410003662109375</v>
      </c>
      <c r="G468">
        <v>0</v>
      </c>
      <c r="H468">
        <f t="shared" si="42"/>
        <v>0</v>
      </c>
      <c r="J468">
        <v>1</v>
      </c>
      <c r="K468">
        <f t="shared" si="43"/>
        <v>7.7410003662109375E-4</v>
      </c>
      <c r="M468">
        <v>4</v>
      </c>
      <c r="N468">
        <f t="shared" si="44"/>
        <v>3.096400146484375E-3</v>
      </c>
      <c r="P468">
        <v>0</v>
      </c>
      <c r="Q468">
        <f t="shared" si="45"/>
        <v>0</v>
      </c>
      <c r="S468">
        <v>0</v>
      </c>
      <c r="T468">
        <f t="shared" si="46"/>
        <v>0</v>
      </c>
      <c r="V468">
        <f>_xlfn.XLOOKUP(B468,[1]Sheet1!$B:$B,[1]Sheet1!$C:$C,0,0,1)</f>
        <v>0</v>
      </c>
      <c r="W468">
        <f t="shared" si="47"/>
        <v>0</v>
      </c>
    </row>
    <row r="469" spans="1:23" x14ac:dyDescent="0.2">
      <c r="A469">
        <v>89244</v>
      </c>
      <c r="B469" t="s">
        <v>868</v>
      </c>
      <c r="C469">
        <v>42430</v>
      </c>
      <c r="D469" t="s">
        <v>869</v>
      </c>
      <c r="E469" s="6">
        <v>1.2699999809265137</v>
      </c>
      <c r="G469">
        <v>0</v>
      </c>
      <c r="H469">
        <f t="shared" si="42"/>
        <v>0</v>
      </c>
      <c r="J469">
        <v>93</v>
      </c>
      <c r="K469">
        <f t="shared" si="43"/>
        <v>1.1810999822616578E-3</v>
      </c>
      <c r="M469">
        <v>0</v>
      </c>
      <c r="N469">
        <f t="shared" si="44"/>
        <v>0</v>
      </c>
      <c r="P469">
        <v>0</v>
      </c>
      <c r="Q469">
        <f t="shared" si="45"/>
        <v>0</v>
      </c>
      <c r="S469">
        <v>53</v>
      </c>
      <c r="T469">
        <f t="shared" si="46"/>
        <v>6.7309998989105229E-4</v>
      </c>
      <c r="V469">
        <f>_xlfn.XLOOKUP(B469,[1]Sheet1!$B:$B,[1]Sheet1!$C:$C,0,0,1)</f>
        <v>3</v>
      </c>
      <c r="W469">
        <f t="shared" si="47"/>
        <v>3.8099999427795408E-5</v>
      </c>
    </row>
    <row r="470" spans="1:23" x14ac:dyDescent="0.2">
      <c r="A470">
        <v>89258</v>
      </c>
      <c r="B470" t="s">
        <v>870</v>
      </c>
      <c r="C470">
        <v>42524</v>
      </c>
      <c r="D470" t="s">
        <v>871</v>
      </c>
      <c r="E470" s="6">
        <v>118.52999877929688</v>
      </c>
      <c r="G470">
        <v>1</v>
      </c>
      <c r="H470">
        <f t="shared" si="42"/>
        <v>1.1852999877929688E-3</v>
      </c>
      <c r="J470">
        <v>0</v>
      </c>
      <c r="K470">
        <f t="shared" si="43"/>
        <v>0</v>
      </c>
      <c r="M470">
        <v>3</v>
      </c>
      <c r="N470">
        <f t="shared" si="44"/>
        <v>3.5558999633789061E-3</v>
      </c>
      <c r="P470">
        <v>0</v>
      </c>
      <c r="Q470">
        <f t="shared" si="45"/>
        <v>0</v>
      </c>
      <c r="S470">
        <v>0</v>
      </c>
      <c r="T470">
        <f t="shared" si="46"/>
        <v>0</v>
      </c>
      <c r="V470">
        <f>_xlfn.XLOOKUP(B470,[1]Sheet1!$B:$B,[1]Sheet1!$C:$C,0,0,1)</f>
        <v>0</v>
      </c>
      <c r="W470">
        <f t="shared" si="47"/>
        <v>0</v>
      </c>
    </row>
    <row r="471" spans="1:23" x14ac:dyDescent="0.2">
      <c r="A471">
        <v>89269</v>
      </c>
      <c r="B471" t="s">
        <v>872</v>
      </c>
      <c r="C471">
        <v>42540</v>
      </c>
      <c r="D471" t="s">
        <v>873</v>
      </c>
      <c r="E471" s="6">
        <v>60.580001831054688</v>
      </c>
      <c r="G471">
        <v>0</v>
      </c>
      <c r="H471">
        <f t="shared" si="42"/>
        <v>0</v>
      </c>
      <c r="J471">
        <v>0</v>
      </c>
      <c r="K471">
        <f t="shared" si="43"/>
        <v>0</v>
      </c>
      <c r="M471">
        <v>2</v>
      </c>
      <c r="N471">
        <f t="shared" si="44"/>
        <v>1.2116000366210937E-3</v>
      </c>
      <c r="P471">
        <v>0</v>
      </c>
      <c r="Q471">
        <f t="shared" si="45"/>
        <v>0</v>
      </c>
      <c r="S471">
        <v>0</v>
      </c>
      <c r="T471">
        <f t="shared" si="46"/>
        <v>0</v>
      </c>
      <c r="V471">
        <f>_xlfn.XLOOKUP(B471,[1]Sheet1!$B:$B,[1]Sheet1!$C:$C,0,0,1)</f>
        <v>0</v>
      </c>
      <c r="W471">
        <f t="shared" si="47"/>
        <v>0</v>
      </c>
    </row>
    <row r="472" spans="1:23" x14ac:dyDescent="0.2">
      <c r="A472">
        <v>89393</v>
      </c>
      <c r="B472" t="s">
        <v>874</v>
      </c>
      <c r="C472">
        <v>43145</v>
      </c>
      <c r="D472" t="s">
        <v>875</v>
      </c>
      <c r="E472" s="6">
        <v>891.32000732421875</v>
      </c>
      <c r="G472">
        <v>1</v>
      </c>
      <c r="H472">
        <f t="shared" si="42"/>
        <v>8.913200073242188E-3</v>
      </c>
      <c r="J472">
        <v>0</v>
      </c>
      <c r="K472">
        <f t="shared" si="43"/>
        <v>0</v>
      </c>
      <c r="M472">
        <v>0</v>
      </c>
      <c r="N472">
        <f t="shared" si="44"/>
        <v>0</v>
      </c>
      <c r="P472">
        <v>1</v>
      </c>
      <c r="Q472">
        <f t="shared" si="45"/>
        <v>8.913200073242188E-3</v>
      </c>
      <c r="S472">
        <v>0</v>
      </c>
      <c r="T472">
        <f t="shared" si="46"/>
        <v>0</v>
      </c>
      <c r="V472">
        <f>_xlfn.XLOOKUP(B472,[1]Sheet1!$B:$B,[1]Sheet1!$C:$C,0,0,1)</f>
        <v>0</v>
      </c>
      <c r="W472">
        <f t="shared" si="47"/>
        <v>0</v>
      </c>
    </row>
    <row r="473" spans="1:23" x14ac:dyDescent="0.2">
      <c r="A473">
        <v>89508</v>
      </c>
      <c r="B473" t="s">
        <v>876</v>
      </c>
      <c r="C473">
        <v>43519</v>
      </c>
      <c r="D473" t="s">
        <v>877</v>
      </c>
      <c r="E473" s="6">
        <v>81.760002136230469</v>
      </c>
      <c r="G473">
        <v>2</v>
      </c>
      <c r="H473">
        <f t="shared" si="42"/>
        <v>1.6352000427246093E-3</v>
      </c>
      <c r="J473">
        <v>1</v>
      </c>
      <c r="K473">
        <f t="shared" si="43"/>
        <v>8.1760002136230464E-4</v>
      </c>
      <c r="M473">
        <v>1</v>
      </c>
      <c r="N473">
        <f t="shared" si="44"/>
        <v>8.1760002136230464E-4</v>
      </c>
      <c r="P473">
        <v>0</v>
      </c>
      <c r="Q473">
        <f t="shared" si="45"/>
        <v>0</v>
      </c>
      <c r="S473">
        <v>0</v>
      </c>
      <c r="T473">
        <f t="shared" si="46"/>
        <v>0</v>
      </c>
      <c r="V473">
        <f>_xlfn.XLOOKUP(B473,[1]Sheet1!$B:$B,[1]Sheet1!$C:$C,0,0,1)</f>
        <v>0</v>
      </c>
      <c r="W473">
        <f t="shared" si="47"/>
        <v>0</v>
      </c>
    </row>
    <row r="474" spans="1:23" x14ac:dyDescent="0.2">
      <c r="A474">
        <v>89525</v>
      </c>
      <c r="B474" t="s">
        <v>878</v>
      </c>
      <c r="C474">
        <v>43613</v>
      </c>
      <c r="D474" t="s">
        <v>879</v>
      </c>
      <c r="E474" s="6">
        <v>37.529998779296875</v>
      </c>
      <c r="G474">
        <v>1</v>
      </c>
      <c r="H474">
        <f t="shared" si="42"/>
        <v>3.7529998779296873E-4</v>
      </c>
      <c r="J474">
        <v>17</v>
      </c>
      <c r="K474">
        <f t="shared" si="43"/>
        <v>6.3800997924804686E-3</v>
      </c>
      <c r="M474">
        <v>7</v>
      </c>
      <c r="N474">
        <f t="shared" si="44"/>
        <v>2.6270999145507814E-3</v>
      </c>
      <c r="P474">
        <v>0</v>
      </c>
      <c r="Q474">
        <f t="shared" si="45"/>
        <v>0</v>
      </c>
      <c r="S474">
        <v>9</v>
      </c>
      <c r="T474">
        <f t="shared" si="46"/>
        <v>3.3776998901367187E-3</v>
      </c>
      <c r="V474">
        <f>_xlfn.XLOOKUP(B474,[1]Sheet1!$B:$B,[1]Sheet1!$C:$C,0,0,1)</f>
        <v>1</v>
      </c>
      <c r="W474">
        <f t="shared" si="47"/>
        <v>3.7529998779296873E-4</v>
      </c>
    </row>
    <row r="475" spans="1:23" x14ac:dyDescent="0.2">
      <c r="A475">
        <v>89533</v>
      </c>
      <c r="B475" t="s">
        <v>880</v>
      </c>
      <c r="C475">
        <v>43620</v>
      </c>
      <c r="D475" t="s">
        <v>881</v>
      </c>
      <c r="E475" s="6">
        <v>86.160003662109375</v>
      </c>
      <c r="G475">
        <v>0</v>
      </c>
      <c r="H475">
        <f t="shared" si="42"/>
        <v>0</v>
      </c>
      <c r="J475">
        <v>1</v>
      </c>
      <c r="K475">
        <f t="shared" si="43"/>
        <v>8.6160003662109376E-4</v>
      </c>
      <c r="M475">
        <v>2</v>
      </c>
      <c r="N475">
        <f t="shared" si="44"/>
        <v>1.7232000732421875E-3</v>
      </c>
      <c r="P475">
        <v>0</v>
      </c>
      <c r="Q475">
        <f t="shared" si="45"/>
        <v>0</v>
      </c>
      <c r="S475">
        <v>0</v>
      </c>
      <c r="T475">
        <f t="shared" si="46"/>
        <v>0</v>
      </c>
      <c r="V475">
        <f>_xlfn.XLOOKUP(B475,[1]Sheet1!$B:$B,[1]Sheet1!$C:$C,0,0,1)</f>
        <v>0</v>
      </c>
      <c r="W475">
        <f t="shared" si="47"/>
        <v>0</v>
      </c>
    </row>
    <row r="476" spans="1:23" x14ac:dyDescent="0.2">
      <c r="A476">
        <v>89617</v>
      </c>
      <c r="B476" t="s">
        <v>882</v>
      </c>
      <c r="C476">
        <v>38419</v>
      </c>
      <c r="D476" t="s">
        <v>883</v>
      </c>
      <c r="E476" s="6">
        <v>942.8900146484375</v>
      </c>
      <c r="G476">
        <v>0</v>
      </c>
      <c r="H476">
        <f t="shared" si="42"/>
        <v>0</v>
      </c>
      <c r="J476">
        <v>0</v>
      </c>
      <c r="K476">
        <f t="shared" si="43"/>
        <v>0</v>
      </c>
      <c r="M476">
        <v>0</v>
      </c>
      <c r="N476">
        <f t="shared" si="44"/>
        <v>0</v>
      </c>
      <c r="P476">
        <v>1</v>
      </c>
      <c r="Q476">
        <f t="shared" si="45"/>
        <v>9.4289001464843755E-3</v>
      </c>
      <c r="S476">
        <v>0</v>
      </c>
      <c r="T476">
        <f t="shared" si="46"/>
        <v>0</v>
      </c>
      <c r="V476">
        <f>_xlfn.XLOOKUP(B476,[1]Sheet1!$B:$B,[1]Sheet1!$C:$C,0,0,1)</f>
        <v>0</v>
      </c>
      <c r="W476">
        <f t="shared" si="47"/>
        <v>0</v>
      </c>
    </row>
    <row r="477" spans="1:23" x14ac:dyDescent="0.2">
      <c r="A477">
        <v>89626</v>
      </c>
      <c r="B477" t="s">
        <v>884</v>
      </c>
      <c r="C477">
        <v>43791</v>
      </c>
      <c r="D477" t="s">
        <v>885</v>
      </c>
      <c r="E477" s="6">
        <v>232.22999572753906</v>
      </c>
      <c r="G477">
        <v>1</v>
      </c>
      <c r="H477">
        <f t="shared" si="42"/>
        <v>2.3222999572753908E-3</v>
      </c>
      <c r="J477">
        <v>3</v>
      </c>
      <c r="K477">
        <f t="shared" si="43"/>
        <v>6.9668998718261715E-3</v>
      </c>
      <c r="M477">
        <v>1</v>
      </c>
      <c r="N477">
        <f t="shared" si="44"/>
        <v>2.3222999572753908E-3</v>
      </c>
      <c r="P477">
        <v>5</v>
      </c>
      <c r="Q477">
        <f t="shared" si="45"/>
        <v>1.1611499786376954E-2</v>
      </c>
      <c r="S477">
        <v>5</v>
      </c>
      <c r="T477">
        <f t="shared" si="46"/>
        <v>1.1611499786376954E-2</v>
      </c>
      <c r="V477">
        <f>_xlfn.XLOOKUP(B477,[1]Sheet1!$B:$B,[1]Sheet1!$C:$C,0,0,1)</f>
        <v>0</v>
      </c>
      <c r="W477">
        <f t="shared" si="47"/>
        <v>0</v>
      </c>
    </row>
    <row r="478" spans="1:23" x14ac:dyDescent="0.2">
      <c r="A478">
        <v>89641</v>
      </c>
      <c r="B478" t="s">
        <v>886</v>
      </c>
      <c r="C478">
        <v>43807</v>
      </c>
      <c r="D478" t="s">
        <v>887</v>
      </c>
      <c r="E478" s="6">
        <v>86.30999755859375</v>
      </c>
      <c r="G478">
        <v>3</v>
      </c>
      <c r="H478">
        <f t="shared" si="42"/>
        <v>2.5892999267578126E-3</v>
      </c>
      <c r="J478">
        <v>2</v>
      </c>
      <c r="K478">
        <f t="shared" si="43"/>
        <v>1.7261999511718751E-3</v>
      </c>
      <c r="M478">
        <v>2</v>
      </c>
      <c r="N478">
        <f t="shared" si="44"/>
        <v>1.7261999511718751E-3</v>
      </c>
      <c r="P478">
        <v>0</v>
      </c>
      <c r="Q478">
        <f t="shared" si="45"/>
        <v>0</v>
      </c>
      <c r="S478">
        <v>0</v>
      </c>
      <c r="T478">
        <f t="shared" si="46"/>
        <v>0</v>
      </c>
      <c r="V478">
        <f>_xlfn.XLOOKUP(B478,[1]Sheet1!$B:$B,[1]Sheet1!$C:$C,0,0,1)</f>
        <v>0</v>
      </c>
      <c r="W478">
        <f t="shared" si="47"/>
        <v>0</v>
      </c>
    </row>
    <row r="479" spans="1:23" x14ac:dyDescent="0.2">
      <c r="A479">
        <v>89731</v>
      </c>
      <c r="B479" t="s">
        <v>452</v>
      </c>
      <c r="C479">
        <v>21095</v>
      </c>
      <c r="D479" t="s">
        <v>453</v>
      </c>
      <c r="E479" s="6">
        <v>132.14999389648438</v>
      </c>
      <c r="G479">
        <v>2</v>
      </c>
      <c r="H479">
        <f t="shared" si="42"/>
        <v>2.6429998779296873E-3</v>
      </c>
      <c r="J479">
        <v>0</v>
      </c>
      <c r="K479">
        <f t="shared" si="43"/>
        <v>0</v>
      </c>
      <c r="M479">
        <v>2</v>
      </c>
      <c r="N479">
        <f t="shared" si="44"/>
        <v>2.6429998779296873E-3</v>
      </c>
      <c r="P479">
        <v>0</v>
      </c>
      <c r="Q479">
        <f t="shared" si="45"/>
        <v>0</v>
      </c>
      <c r="S479">
        <v>0</v>
      </c>
      <c r="T479">
        <f t="shared" si="46"/>
        <v>0</v>
      </c>
      <c r="V479">
        <f>_xlfn.XLOOKUP(B479,[1]Sheet1!$B:$B,[1]Sheet1!$C:$C,0,0,1)</f>
        <v>0</v>
      </c>
      <c r="W479">
        <f t="shared" si="47"/>
        <v>0</v>
      </c>
    </row>
    <row r="480" spans="1:23" x14ac:dyDescent="0.2">
      <c r="A480">
        <v>89781</v>
      </c>
      <c r="B480" t="s">
        <v>888</v>
      </c>
      <c r="C480">
        <v>44184</v>
      </c>
      <c r="D480" t="s">
        <v>889</v>
      </c>
      <c r="E480" s="6">
        <v>291.04998779296875</v>
      </c>
      <c r="G480">
        <v>0</v>
      </c>
      <c r="H480">
        <f t="shared" si="42"/>
        <v>0</v>
      </c>
      <c r="J480">
        <v>0</v>
      </c>
      <c r="K480">
        <f t="shared" si="43"/>
        <v>0</v>
      </c>
      <c r="M480">
        <v>0</v>
      </c>
      <c r="N480">
        <f t="shared" si="44"/>
        <v>0</v>
      </c>
      <c r="P480">
        <v>0</v>
      </c>
      <c r="Q480">
        <f t="shared" si="45"/>
        <v>0</v>
      </c>
      <c r="S480">
        <v>1</v>
      </c>
      <c r="T480">
        <f t="shared" si="46"/>
        <v>2.9104998779296877E-3</v>
      </c>
      <c r="V480">
        <f>_xlfn.XLOOKUP(B480,[1]Sheet1!$B:$B,[1]Sheet1!$C:$C,0,0,1)</f>
        <v>0</v>
      </c>
      <c r="W480">
        <f t="shared" si="47"/>
        <v>0</v>
      </c>
    </row>
    <row r="481" spans="1:23" x14ac:dyDescent="0.2">
      <c r="A481">
        <v>89866</v>
      </c>
      <c r="B481" t="s">
        <v>890</v>
      </c>
      <c r="C481">
        <v>44497</v>
      </c>
      <c r="D481" t="s">
        <v>891</v>
      </c>
      <c r="E481" s="6">
        <v>36.75</v>
      </c>
      <c r="G481">
        <v>0</v>
      </c>
      <c r="H481">
        <f t="shared" si="42"/>
        <v>0</v>
      </c>
      <c r="J481">
        <v>0</v>
      </c>
      <c r="K481">
        <f t="shared" si="43"/>
        <v>0</v>
      </c>
      <c r="M481">
        <v>7</v>
      </c>
      <c r="N481">
        <f t="shared" si="44"/>
        <v>2.5725000000000001E-3</v>
      </c>
      <c r="P481">
        <v>0</v>
      </c>
      <c r="Q481">
        <f t="shared" si="45"/>
        <v>0</v>
      </c>
      <c r="S481">
        <v>0</v>
      </c>
      <c r="T481">
        <f t="shared" si="46"/>
        <v>0</v>
      </c>
      <c r="V481">
        <f>_xlfn.XLOOKUP(B481,[1]Sheet1!$B:$B,[1]Sheet1!$C:$C,0,0,1)</f>
        <v>0</v>
      </c>
      <c r="W481">
        <f t="shared" si="47"/>
        <v>0</v>
      </c>
    </row>
    <row r="482" spans="1:23" x14ac:dyDescent="0.2">
      <c r="A482">
        <v>90038</v>
      </c>
      <c r="B482" t="s">
        <v>892</v>
      </c>
      <c r="C482">
        <v>44893</v>
      </c>
      <c r="D482" t="s">
        <v>893</v>
      </c>
      <c r="E482" s="6">
        <v>213.22000122070312</v>
      </c>
      <c r="G482">
        <v>1</v>
      </c>
      <c r="H482">
        <f t="shared" si="42"/>
        <v>2.1322000122070313E-3</v>
      </c>
      <c r="J482">
        <v>2</v>
      </c>
      <c r="K482">
        <f t="shared" si="43"/>
        <v>4.2644000244140626E-3</v>
      </c>
      <c r="M482">
        <v>1</v>
      </c>
      <c r="N482">
        <f t="shared" si="44"/>
        <v>2.1322000122070313E-3</v>
      </c>
      <c r="P482">
        <v>4</v>
      </c>
      <c r="Q482">
        <f t="shared" si="45"/>
        <v>8.5288000488281251E-3</v>
      </c>
      <c r="S482">
        <v>2</v>
      </c>
      <c r="T482">
        <f t="shared" si="46"/>
        <v>4.2644000244140626E-3</v>
      </c>
      <c r="V482">
        <f>_xlfn.XLOOKUP(B482,[1]Sheet1!$B:$B,[1]Sheet1!$C:$C,0,0,1)</f>
        <v>0</v>
      </c>
      <c r="W482">
        <f t="shared" si="47"/>
        <v>0</v>
      </c>
    </row>
    <row r="483" spans="1:23" x14ac:dyDescent="0.2">
      <c r="A483">
        <v>90071</v>
      </c>
      <c r="B483" t="s">
        <v>894</v>
      </c>
      <c r="C483">
        <v>37496</v>
      </c>
      <c r="D483" t="s">
        <v>895</v>
      </c>
      <c r="E483" s="6">
        <v>90.220001220703125</v>
      </c>
      <c r="G483">
        <v>8</v>
      </c>
      <c r="H483">
        <f t="shared" si="42"/>
        <v>7.2176000976562496E-3</v>
      </c>
      <c r="J483">
        <v>2</v>
      </c>
      <c r="K483">
        <f t="shared" si="43"/>
        <v>1.8044000244140624E-3</v>
      </c>
      <c r="M483">
        <v>2</v>
      </c>
      <c r="N483">
        <f t="shared" si="44"/>
        <v>1.8044000244140624E-3</v>
      </c>
      <c r="P483">
        <v>0</v>
      </c>
      <c r="Q483">
        <f t="shared" si="45"/>
        <v>0</v>
      </c>
      <c r="S483">
        <v>0</v>
      </c>
      <c r="T483">
        <f t="shared" si="46"/>
        <v>0</v>
      </c>
      <c r="V483">
        <f>_xlfn.XLOOKUP(B483,[1]Sheet1!$B:$B,[1]Sheet1!$C:$C,0,0,1)</f>
        <v>0</v>
      </c>
      <c r="W483">
        <f t="shared" si="47"/>
        <v>0</v>
      </c>
    </row>
    <row r="484" spans="1:23" x14ac:dyDescent="0.2">
      <c r="A484">
        <v>90199</v>
      </c>
      <c r="B484" t="s">
        <v>896</v>
      </c>
      <c r="C484">
        <v>45270</v>
      </c>
      <c r="D484" t="s">
        <v>897</v>
      </c>
      <c r="E484" s="6">
        <v>131.28999328613281</v>
      </c>
      <c r="G484">
        <v>2</v>
      </c>
      <c r="H484">
        <f t="shared" si="42"/>
        <v>2.6257998657226562E-3</v>
      </c>
      <c r="J484">
        <v>1</v>
      </c>
      <c r="K484">
        <f t="shared" si="43"/>
        <v>1.3128999328613281E-3</v>
      </c>
      <c r="M484">
        <v>1</v>
      </c>
      <c r="N484">
        <f t="shared" si="44"/>
        <v>1.3128999328613281E-3</v>
      </c>
      <c r="P484">
        <v>5</v>
      </c>
      <c r="Q484">
        <f t="shared" si="45"/>
        <v>6.5644996643066406E-3</v>
      </c>
      <c r="S484">
        <v>0</v>
      </c>
      <c r="T484">
        <f t="shared" si="46"/>
        <v>0</v>
      </c>
      <c r="V484">
        <f>_xlfn.XLOOKUP(B484,[1]Sheet1!$B:$B,[1]Sheet1!$C:$C,0,0,1)</f>
        <v>0</v>
      </c>
      <c r="W484">
        <f t="shared" si="47"/>
        <v>0</v>
      </c>
    </row>
    <row r="485" spans="1:23" x14ac:dyDescent="0.2">
      <c r="A485">
        <v>90215</v>
      </c>
      <c r="B485" t="s">
        <v>898</v>
      </c>
      <c r="C485">
        <v>45288</v>
      </c>
      <c r="D485" t="s">
        <v>899</v>
      </c>
      <c r="E485" s="6">
        <v>334.32998657226562</v>
      </c>
      <c r="G485">
        <v>2</v>
      </c>
      <c r="H485">
        <f t="shared" si="42"/>
        <v>6.6865997314453128E-3</v>
      </c>
      <c r="J485">
        <v>0</v>
      </c>
      <c r="K485">
        <f t="shared" si="43"/>
        <v>0</v>
      </c>
      <c r="M485">
        <v>0</v>
      </c>
      <c r="N485">
        <f t="shared" si="44"/>
        <v>0</v>
      </c>
      <c r="P485">
        <v>2</v>
      </c>
      <c r="Q485">
        <f t="shared" si="45"/>
        <v>6.6865997314453128E-3</v>
      </c>
      <c r="S485">
        <v>0</v>
      </c>
      <c r="T485">
        <f t="shared" si="46"/>
        <v>0</v>
      </c>
      <c r="V485">
        <f>_xlfn.XLOOKUP(B485,[1]Sheet1!$B:$B,[1]Sheet1!$C:$C,0,0,1)</f>
        <v>0</v>
      </c>
      <c r="W485">
        <f t="shared" si="47"/>
        <v>0</v>
      </c>
    </row>
    <row r="486" spans="1:23" x14ac:dyDescent="0.2">
      <c r="A486">
        <v>90248</v>
      </c>
      <c r="B486" t="s">
        <v>900</v>
      </c>
      <c r="C486">
        <v>45379</v>
      </c>
      <c r="D486" t="s">
        <v>901</v>
      </c>
      <c r="E486" s="6">
        <v>419.760009765625</v>
      </c>
      <c r="G486">
        <v>0</v>
      </c>
      <c r="H486">
        <f t="shared" si="42"/>
        <v>0</v>
      </c>
      <c r="J486">
        <v>1</v>
      </c>
      <c r="K486">
        <f t="shared" si="43"/>
        <v>4.1976000976562504E-3</v>
      </c>
      <c r="M486">
        <v>0</v>
      </c>
      <c r="N486">
        <f t="shared" si="44"/>
        <v>0</v>
      </c>
      <c r="P486">
        <v>0</v>
      </c>
      <c r="Q486">
        <f t="shared" si="45"/>
        <v>0</v>
      </c>
      <c r="S486">
        <v>2</v>
      </c>
      <c r="T486">
        <f t="shared" si="46"/>
        <v>8.3952001953125008E-3</v>
      </c>
      <c r="V486">
        <f>_xlfn.XLOOKUP(B486,[1]Sheet1!$B:$B,[1]Sheet1!$C:$C,0,0,1)</f>
        <v>0</v>
      </c>
      <c r="W486">
        <f t="shared" si="47"/>
        <v>0</v>
      </c>
    </row>
    <row r="487" spans="1:23" x14ac:dyDescent="0.2">
      <c r="A487">
        <v>90305</v>
      </c>
      <c r="B487" t="s">
        <v>902</v>
      </c>
      <c r="C487">
        <v>45469</v>
      </c>
      <c r="D487" t="s">
        <v>903</v>
      </c>
      <c r="E487" s="6">
        <v>149.60000610351562</v>
      </c>
      <c r="G487">
        <v>0</v>
      </c>
      <c r="H487">
        <f t="shared" si="42"/>
        <v>0</v>
      </c>
      <c r="J487">
        <v>7</v>
      </c>
      <c r="K487">
        <f t="shared" si="43"/>
        <v>1.0472000427246093E-2</v>
      </c>
      <c r="M487">
        <v>1</v>
      </c>
      <c r="N487">
        <f t="shared" si="44"/>
        <v>1.4960000610351562E-3</v>
      </c>
      <c r="P487">
        <v>0</v>
      </c>
      <c r="Q487">
        <f t="shared" si="45"/>
        <v>0</v>
      </c>
      <c r="S487">
        <v>6</v>
      </c>
      <c r="T487">
        <f t="shared" si="46"/>
        <v>8.9760003662109379E-3</v>
      </c>
      <c r="V487">
        <f>_xlfn.XLOOKUP(B487,[1]Sheet1!$B:$B,[1]Sheet1!$C:$C,0,0,1)</f>
        <v>0</v>
      </c>
      <c r="W487">
        <f t="shared" si="47"/>
        <v>0</v>
      </c>
    </row>
    <row r="488" spans="1:23" x14ac:dyDescent="0.2">
      <c r="A488">
        <v>90319</v>
      </c>
      <c r="B488" t="s">
        <v>904</v>
      </c>
      <c r="C488">
        <v>45483</v>
      </c>
      <c r="D488" t="s">
        <v>121</v>
      </c>
      <c r="E488" s="6">
        <v>189.30000305175781</v>
      </c>
      <c r="G488">
        <v>2</v>
      </c>
      <c r="H488">
        <f t="shared" si="42"/>
        <v>3.7860000610351564E-3</v>
      </c>
      <c r="J488">
        <v>0</v>
      </c>
      <c r="K488">
        <f t="shared" si="43"/>
        <v>0</v>
      </c>
      <c r="M488">
        <v>1</v>
      </c>
      <c r="N488">
        <f t="shared" si="44"/>
        <v>1.8930000305175782E-3</v>
      </c>
      <c r="P488">
        <v>6</v>
      </c>
      <c r="Q488">
        <f t="shared" si="45"/>
        <v>1.1358000183105468E-2</v>
      </c>
      <c r="S488">
        <v>0</v>
      </c>
      <c r="T488">
        <f t="shared" si="46"/>
        <v>0</v>
      </c>
      <c r="V488">
        <f>_xlfn.XLOOKUP(B488,[1]Sheet1!$B:$B,[1]Sheet1!$C:$C,0,0,1)</f>
        <v>0</v>
      </c>
      <c r="W488">
        <f t="shared" si="47"/>
        <v>0</v>
      </c>
    </row>
    <row r="489" spans="1:23" x14ac:dyDescent="0.2">
      <c r="A489">
        <v>90373</v>
      </c>
      <c r="B489" t="s">
        <v>905</v>
      </c>
      <c r="C489">
        <v>45684</v>
      </c>
      <c r="D489" t="s">
        <v>906</v>
      </c>
      <c r="E489" s="6">
        <v>177.33000183105469</v>
      </c>
      <c r="G489">
        <v>2</v>
      </c>
      <c r="H489">
        <f t="shared" si="42"/>
        <v>3.5466000366210938E-3</v>
      </c>
      <c r="J489">
        <v>5</v>
      </c>
      <c r="K489">
        <f t="shared" si="43"/>
        <v>8.8665000915527335E-3</v>
      </c>
      <c r="M489">
        <v>1</v>
      </c>
      <c r="N489">
        <f t="shared" si="44"/>
        <v>1.7733000183105469E-3</v>
      </c>
      <c r="P489">
        <v>6</v>
      </c>
      <c r="Q489">
        <f t="shared" si="45"/>
        <v>1.0639800109863281E-2</v>
      </c>
      <c r="S489">
        <v>6</v>
      </c>
      <c r="T489">
        <f t="shared" si="46"/>
        <v>1.0639800109863281E-2</v>
      </c>
      <c r="V489">
        <f>_xlfn.XLOOKUP(B489,[1]Sheet1!$B:$B,[1]Sheet1!$C:$C,0,0,1)</f>
        <v>0</v>
      </c>
      <c r="W489">
        <f t="shared" si="47"/>
        <v>0</v>
      </c>
    </row>
    <row r="490" spans="1:23" x14ac:dyDescent="0.2">
      <c r="A490">
        <v>90386</v>
      </c>
      <c r="B490" t="s">
        <v>907</v>
      </c>
      <c r="C490">
        <v>45695</v>
      </c>
      <c r="D490" t="s">
        <v>908</v>
      </c>
      <c r="E490" s="6">
        <v>24.579999923706055</v>
      </c>
      <c r="G490">
        <v>0</v>
      </c>
      <c r="H490">
        <f t="shared" si="42"/>
        <v>0</v>
      </c>
      <c r="J490">
        <v>15</v>
      </c>
      <c r="K490">
        <f t="shared" si="43"/>
        <v>3.6869999885559084E-3</v>
      </c>
      <c r="M490">
        <v>13</v>
      </c>
      <c r="N490">
        <f t="shared" si="44"/>
        <v>3.1953999900817872E-3</v>
      </c>
      <c r="P490">
        <v>0</v>
      </c>
      <c r="Q490">
        <f t="shared" si="45"/>
        <v>0</v>
      </c>
      <c r="S490">
        <v>14</v>
      </c>
      <c r="T490">
        <f t="shared" si="46"/>
        <v>3.4411999893188476E-3</v>
      </c>
      <c r="V490">
        <f>_xlfn.XLOOKUP(B490,[1]Sheet1!$B:$B,[1]Sheet1!$C:$C,0,0,1)</f>
        <v>1</v>
      </c>
      <c r="W490">
        <f t="shared" si="47"/>
        <v>2.4579999923706055E-4</v>
      </c>
    </row>
    <row r="491" spans="1:23" x14ac:dyDescent="0.2">
      <c r="A491">
        <v>90454</v>
      </c>
      <c r="B491" t="s">
        <v>909</v>
      </c>
      <c r="C491">
        <v>45878</v>
      </c>
      <c r="D491" t="s">
        <v>910</v>
      </c>
      <c r="E491" s="6">
        <v>226.03999328613281</v>
      </c>
      <c r="G491">
        <v>0</v>
      </c>
      <c r="H491">
        <f t="shared" si="42"/>
        <v>0</v>
      </c>
      <c r="J491">
        <v>2</v>
      </c>
      <c r="K491">
        <f t="shared" si="43"/>
        <v>4.5207998657226566E-3</v>
      </c>
      <c r="M491">
        <v>0</v>
      </c>
      <c r="N491">
        <f t="shared" si="44"/>
        <v>0</v>
      </c>
      <c r="P491">
        <v>0</v>
      </c>
      <c r="Q491">
        <f t="shared" si="45"/>
        <v>0</v>
      </c>
      <c r="S491">
        <v>0</v>
      </c>
      <c r="T491">
        <f t="shared" si="46"/>
        <v>0</v>
      </c>
      <c r="V491">
        <f>_xlfn.XLOOKUP(B491,[1]Sheet1!$B:$B,[1]Sheet1!$C:$C,0,0,1)</f>
        <v>0</v>
      </c>
      <c r="W491">
        <f t="shared" si="47"/>
        <v>0</v>
      </c>
    </row>
    <row r="492" spans="1:23" x14ac:dyDescent="0.2">
      <c r="A492">
        <v>90455</v>
      </c>
      <c r="B492" t="s">
        <v>911</v>
      </c>
      <c r="C492">
        <v>45879</v>
      </c>
      <c r="D492" t="s">
        <v>912</v>
      </c>
      <c r="E492" s="6">
        <v>591.70001220703125</v>
      </c>
      <c r="G492">
        <v>0</v>
      </c>
      <c r="H492">
        <f t="shared" si="42"/>
        <v>0</v>
      </c>
      <c r="J492">
        <v>0</v>
      </c>
      <c r="K492">
        <f t="shared" si="43"/>
        <v>0</v>
      </c>
      <c r="M492">
        <v>0</v>
      </c>
      <c r="N492">
        <f t="shared" si="44"/>
        <v>0</v>
      </c>
      <c r="P492">
        <v>0</v>
      </c>
      <c r="Q492">
        <f t="shared" si="45"/>
        <v>0</v>
      </c>
      <c r="S492">
        <v>0</v>
      </c>
      <c r="T492">
        <f t="shared" si="46"/>
        <v>0</v>
      </c>
      <c r="V492">
        <f>_xlfn.XLOOKUP(B492,[1]Sheet1!$B:$B,[1]Sheet1!$C:$C,0,0,1)</f>
        <v>0</v>
      </c>
      <c r="W492">
        <f t="shared" si="47"/>
        <v>0</v>
      </c>
    </row>
    <row r="493" spans="1:23" x14ac:dyDescent="0.2">
      <c r="A493">
        <v>90505</v>
      </c>
      <c r="B493" t="s">
        <v>913</v>
      </c>
      <c r="C493">
        <v>46024</v>
      </c>
      <c r="D493" t="s">
        <v>914</v>
      </c>
      <c r="E493" s="6">
        <v>51.360000610351562</v>
      </c>
      <c r="G493">
        <v>1</v>
      </c>
      <c r="H493">
        <f t="shared" si="42"/>
        <v>5.136000061035156E-4</v>
      </c>
      <c r="J493">
        <v>0</v>
      </c>
      <c r="K493">
        <f t="shared" si="43"/>
        <v>0</v>
      </c>
      <c r="M493">
        <v>4</v>
      </c>
      <c r="N493">
        <f t="shared" si="44"/>
        <v>2.0544000244140624E-3</v>
      </c>
      <c r="P493">
        <v>0</v>
      </c>
      <c r="Q493">
        <f t="shared" si="45"/>
        <v>0</v>
      </c>
      <c r="S493">
        <v>0</v>
      </c>
      <c r="T493">
        <f t="shared" si="46"/>
        <v>0</v>
      </c>
      <c r="V493">
        <f>_xlfn.XLOOKUP(B493,[1]Sheet1!$B:$B,[1]Sheet1!$C:$C,0,0,1)</f>
        <v>0</v>
      </c>
      <c r="W493">
        <f t="shared" si="47"/>
        <v>0</v>
      </c>
    </row>
    <row r="494" spans="1:23" x14ac:dyDescent="0.2">
      <c r="A494">
        <v>90520</v>
      </c>
      <c r="B494" t="s">
        <v>915</v>
      </c>
      <c r="C494">
        <v>46091</v>
      </c>
      <c r="D494" t="s">
        <v>916</v>
      </c>
      <c r="E494" s="6">
        <v>69.209999084472656</v>
      </c>
      <c r="G494">
        <v>0</v>
      </c>
      <c r="H494">
        <f t="shared" si="42"/>
        <v>0</v>
      </c>
      <c r="J494">
        <v>0</v>
      </c>
      <c r="K494">
        <f t="shared" si="43"/>
        <v>0</v>
      </c>
      <c r="M494">
        <v>4</v>
      </c>
      <c r="N494">
        <f t="shared" si="44"/>
        <v>2.7683999633789061E-3</v>
      </c>
      <c r="P494">
        <v>0</v>
      </c>
      <c r="Q494">
        <f t="shared" si="45"/>
        <v>0</v>
      </c>
      <c r="S494">
        <v>0</v>
      </c>
      <c r="T494">
        <f t="shared" si="46"/>
        <v>0</v>
      </c>
      <c r="V494">
        <f>_xlfn.XLOOKUP(B494,[1]Sheet1!$B:$B,[1]Sheet1!$C:$C,0,0,1)</f>
        <v>0</v>
      </c>
      <c r="W494">
        <f t="shared" si="47"/>
        <v>0</v>
      </c>
    </row>
    <row r="495" spans="1:23" x14ac:dyDescent="0.2">
      <c r="A495">
        <v>90562</v>
      </c>
      <c r="B495" t="s">
        <v>486</v>
      </c>
      <c r="C495">
        <v>33</v>
      </c>
      <c r="D495" t="s">
        <v>487</v>
      </c>
      <c r="E495" s="6">
        <v>59.810001373291001</v>
      </c>
      <c r="G495">
        <v>1</v>
      </c>
      <c r="H495">
        <f t="shared" si="42"/>
        <v>5.9810001373291006E-4</v>
      </c>
      <c r="J495">
        <v>0</v>
      </c>
      <c r="K495">
        <f t="shared" si="43"/>
        <v>0</v>
      </c>
      <c r="M495">
        <v>5</v>
      </c>
      <c r="N495">
        <f t="shared" si="44"/>
        <v>2.9905000686645503E-3</v>
      </c>
      <c r="P495">
        <v>0</v>
      </c>
      <c r="Q495">
        <f t="shared" si="45"/>
        <v>0</v>
      </c>
      <c r="S495">
        <v>0</v>
      </c>
      <c r="T495">
        <f t="shared" si="46"/>
        <v>0</v>
      </c>
      <c r="V495">
        <f>_xlfn.XLOOKUP(B495,[1]Sheet1!$B:$B,[1]Sheet1!$C:$C,0,0,1)</f>
        <v>0</v>
      </c>
      <c r="W495">
        <f t="shared" si="47"/>
        <v>0</v>
      </c>
    </row>
    <row r="496" spans="1:23" x14ac:dyDescent="0.2">
      <c r="A496">
        <v>90601</v>
      </c>
      <c r="B496" t="s">
        <v>917</v>
      </c>
      <c r="C496">
        <v>46282</v>
      </c>
      <c r="D496" t="s">
        <v>918</v>
      </c>
      <c r="E496" s="6">
        <v>77.30999755859375</v>
      </c>
      <c r="G496">
        <v>1</v>
      </c>
      <c r="H496">
        <f t="shared" si="42"/>
        <v>7.7309997558593752E-4</v>
      </c>
      <c r="J496">
        <v>0</v>
      </c>
      <c r="K496">
        <f t="shared" si="43"/>
        <v>0</v>
      </c>
      <c r="M496">
        <v>3</v>
      </c>
      <c r="N496">
        <f t="shared" si="44"/>
        <v>2.3192999267578123E-3</v>
      </c>
      <c r="P496">
        <v>11</v>
      </c>
      <c r="Q496">
        <f t="shared" si="45"/>
        <v>8.5040997314453116E-3</v>
      </c>
      <c r="S496">
        <v>0</v>
      </c>
      <c r="T496">
        <f t="shared" si="46"/>
        <v>0</v>
      </c>
      <c r="V496">
        <f>_xlfn.XLOOKUP(B496,[1]Sheet1!$B:$B,[1]Sheet1!$C:$C,0,0,1)</f>
        <v>0</v>
      </c>
      <c r="W496">
        <f t="shared" si="47"/>
        <v>0</v>
      </c>
    </row>
    <row r="497" spans="1:23" x14ac:dyDescent="0.2">
      <c r="A497">
        <v>90664</v>
      </c>
      <c r="B497" t="s">
        <v>919</v>
      </c>
      <c r="C497">
        <v>46559</v>
      </c>
      <c r="D497" t="s">
        <v>920</v>
      </c>
      <c r="E497" s="6">
        <v>77.769996643066406</v>
      </c>
      <c r="G497">
        <v>0</v>
      </c>
      <c r="H497">
        <f t="shared" si="42"/>
        <v>0</v>
      </c>
      <c r="J497">
        <v>0</v>
      </c>
      <c r="K497">
        <f t="shared" si="43"/>
        <v>0</v>
      </c>
      <c r="M497">
        <v>1</v>
      </c>
      <c r="N497">
        <f t="shared" si="44"/>
        <v>7.7769996643066409E-4</v>
      </c>
      <c r="P497">
        <v>0</v>
      </c>
      <c r="Q497">
        <f t="shared" si="45"/>
        <v>0</v>
      </c>
      <c r="S497">
        <v>0</v>
      </c>
      <c r="T497">
        <f t="shared" si="46"/>
        <v>0</v>
      </c>
      <c r="V497">
        <f>_xlfn.XLOOKUP(B497,[1]Sheet1!$B:$B,[1]Sheet1!$C:$C,0,0,1)</f>
        <v>0</v>
      </c>
      <c r="W497">
        <f t="shared" si="47"/>
        <v>0</v>
      </c>
    </row>
    <row r="498" spans="1:23" x14ac:dyDescent="0.2">
      <c r="A498">
        <v>90720</v>
      </c>
      <c r="B498" t="s">
        <v>921</v>
      </c>
      <c r="C498">
        <v>46846</v>
      </c>
      <c r="D498" t="s">
        <v>922</v>
      </c>
      <c r="E498" s="6">
        <v>142.92999267578125</v>
      </c>
      <c r="G498">
        <v>3</v>
      </c>
      <c r="H498">
        <f t="shared" si="42"/>
        <v>4.2878997802734374E-3</v>
      </c>
      <c r="J498">
        <v>1</v>
      </c>
      <c r="K498">
        <f t="shared" si="43"/>
        <v>1.4292999267578124E-3</v>
      </c>
      <c r="M498">
        <v>1</v>
      </c>
      <c r="N498">
        <f t="shared" si="44"/>
        <v>1.4292999267578124E-3</v>
      </c>
      <c r="P498">
        <v>0</v>
      </c>
      <c r="Q498">
        <f t="shared" si="45"/>
        <v>0</v>
      </c>
      <c r="S498">
        <v>0</v>
      </c>
      <c r="T498">
        <f t="shared" si="46"/>
        <v>0</v>
      </c>
      <c r="V498">
        <f>_xlfn.XLOOKUP(B498,[1]Sheet1!$B:$B,[1]Sheet1!$C:$C,0,0,1)</f>
        <v>0</v>
      </c>
      <c r="W498">
        <f t="shared" si="47"/>
        <v>0</v>
      </c>
    </row>
    <row r="499" spans="1:23" x14ac:dyDescent="0.2">
      <c r="A499">
        <v>90808</v>
      </c>
      <c r="B499" t="s">
        <v>923</v>
      </c>
      <c r="C499">
        <v>47013</v>
      </c>
      <c r="D499" t="s">
        <v>924</v>
      </c>
      <c r="E499" s="6">
        <v>186.33000183105469</v>
      </c>
      <c r="G499">
        <v>2</v>
      </c>
      <c r="H499">
        <f t="shared" si="42"/>
        <v>3.7266000366210938E-3</v>
      </c>
      <c r="J499">
        <v>2</v>
      </c>
      <c r="K499">
        <f t="shared" si="43"/>
        <v>3.7266000366210938E-3</v>
      </c>
      <c r="M499">
        <v>1</v>
      </c>
      <c r="N499">
        <f t="shared" si="44"/>
        <v>1.8633000183105469E-3</v>
      </c>
      <c r="P499">
        <v>3</v>
      </c>
      <c r="Q499">
        <f t="shared" si="45"/>
        <v>5.5899000549316409E-3</v>
      </c>
      <c r="S499">
        <v>3</v>
      </c>
      <c r="T499">
        <f t="shared" si="46"/>
        <v>5.5899000549316409E-3</v>
      </c>
      <c r="V499">
        <f>_xlfn.XLOOKUP(B499,[1]Sheet1!$B:$B,[1]Sheet1!$C:$C,0,0,1)</f>
        <v>0</v>
      </c>
      <c r="W499">
        <f t="shared" si="47"/>
        <v>0</v>
      </c>
    </row>
    <row r="500" spans="1:23" x14ac:dyDescent="0.2">
      <c r="A500">
        <v>90829</v>
      </c>
      <c r="B500" t="s">
        <v>925</v>
      </c>
      <c r="C500">
        <v>47183</v>
      </c>
      <c r="D500" t="s">
        <v>926</v>
      </c>
      <c r="E500" s="6">
        <v>85.319999694824219</v>
      </c>
      <c r="G500">
        <v>0</v>
      </c>
      <c r="H500">
        <f t="shared" si="42"/>
        <v>0</v>
      </c>
      <c r="J500">
        <v>0</v>
      </c>
      <c r="K500">
        <f t="shared" si="43"/>
        <v>0</v>
      </c>
      <c r="M500">
        <v>3</v>
      </c>
      <c r="N500">
        <f t="shared" si="44"/>
        <v>2.5595999908447267E-3</v>
      </c>
      <c r="P500">
        <v>0</v>
      </c>
      <c r="Q500">
        <f t="shared" si="45"/>
        <v>0</v>
      </c>
      <c r="S500">
        <v>0</v>
      </c>
      <c r="T500">
        <f t="shared" si="46"/>
        <v>0</v>
      </c>
      <c r="V500">
        <f>_xlfn.XLOOKUP(B500,[1]Sheet1!$B:$B,[1]Sheet1!$C:$C,0,0,1)</f>
        <v>0</v>
      </c>
      <c r="W500">
        <f t="shared" si="47"/>
        <v>0</v>
      </c>
    </row>
    <row r="501" spans="1:23" x14ac:dyDescent="0.2">
      <c r="A501">
        <v>90880</v>
      </c>
      <c r="B501" t="s">
        <v>927</v>
      </c>
      <c r="C501">
        <v>47422</v>
      </c>
      <c r="D501" t="s">
        <v>928</v>
      </c>
      <c r="E501" s="6">
        <v>532.42999267578125</v>
      </c>
      <c r="G501">
        <v>1</v>
      </c>
      <c r="H501">
        <f t="shared" si="42"/>
        <v>5.3242999267578122E-3</v>
      </c>
      <c r="J501">
        <v>0</v>
      </c>
      <c r="K501">
        <f t="shared" si="43"/>
        <v>0</v>
      </c>
      <c r="M501">
        <v>0</v>
      </c>
      <c r="N501">
        <f t="shared" si="44"/>
        <v>0</v>
      </c>
      <c r="P501">
        <v>2</v>
      </c>
      <c r="Q501">
        <f t="shared" si="45"/>
        <v>1.0648599853515624E-2</v>
      </c>
      <c r="S501">
        <v>0</v>
      </c>
      <c r="T501">
        <f t="shared" si="46"/>
        <v>0</v>
      </c>
      <c r="V501">
        <f>_xlfn.XLOOKUP(B501,[1]Sheet1!$B:$B,[1]Sheet1!$C:$C,0,0,1)</f>
        <v>0</v>
      </c>
      <c r="W501">
        <f t="shared" si="47"/>
        <v>0</v>
      </c>
    </row>
    <row r="502" spans="1:23" x14ac:dyDescent="0.2">
      <c r="A502">
        <v>90993</v>
      </c>
      <c r="B502" t="s">
        <v>929</v>
      </c>
      <c r="C502">
        <v>48793</v>
      </c>
      <c r="D502" t="s">
        <v>930</v>
      </c>
      <c r="E502" s="6">
        <v>149.00999450683594</v>
      </c>
      <c r="G502">
        <v>1</v>
      </c>
      <c r="H502">
        <f t="shared" si="42"/>
        <v>1.4900999450683594E-3</v>
      </c>
      <c r="J502">
        <v>4</v>
      </c>
      <c r="K502">
        <f t="shared" si="43"/>
        <v>5.9603997802734378E-3</v>
      </c>
      <c r="M502">
        <v>1</v>
      </c>
      <c r="N502">
        <f t="shared" si="44"/>
        <v>1.4900999450683594E-3</v>
      </c>
      <c r="P502">
        <v>0</v>
      </c>
      <c r="Q502">
        <f t="shared" si="45"/>
        <v>0</v>
      </c>
      <c r="S502">
        <v>3</v>
      </c>
      <c r="T502">
        <f t="shared" si="46"/>
        <v>4.4702998352050783E-3</v>
      </c>
      <c r="V502">
        <f>_xlfn.XLOOKUP(B502,[1]Sheet1!$B:$B,[1]Sheet1!$C:$C,0,0,1)</f>
        <v>0</v>
      </c>
      <c r="W502">
        <f t="shared" si="47"/>
        <v>0</v>
      </c>
    </row>
    <row r="503" spans="1:23" x14ac:dyDescent="0.2">
      <c r="A503">
        <v>91041</v>
      </c>
      <c r="B503" t="s">
        <v>931</v>
      </c>
      <c r="C503">
        <v>50016</v>
      </c>
      <c r="D503" t="s">
        <v>932</v>
      </c>
      <c r="E503" s="6">
        <v>129.5</v>
      </c>
      <c r="G503">
        <v>3</v>
      </c>
      <c r="H503">
        <f t="shared" si="42"/>
        <v>3.885E-3</v>
      </c>
      <c r="J503">
        <v>0</v>
      </c>
      <c r="K503">
        <f t="shared" si="43"/>
        <v>0</v>
      </c>
      <c r="M503">
        <v>1</v>
      </c>
      <c r="N503">
        <f t="shared" si="44"/>
        <v>1.2949999999999999E-3</v>
      </c>
      <c r="P503">
        <v>5</v>
      </c>
      <c r="Q503">
        <f t="shared" si="45"/>
        <v>6.4749999999999999E-3</v>
      </c>
      <c r="S503">
        <v>0</v>
      </c>
      <c r="T503">
        <f t="shared" si="46"/>
        <v>0</v>
      </c>
      <c r="V503">
        <f>_xlfn.XLOOKUP(B503,[1]Sheet1!$B:$B,[1]Sheet1!$C:$C,0,0,1)</f>
        <v>0</v>
      </c>
      <c r="W503">
        <f t="shared" si="47"/>
        <v>0</v>
      </c>
    </row>
    <row r="504" spans="1:23" x14ac:dyDescent="0.2">
      <c r="A504">
        <v>91068</v>
      </c>
      <c r="B504" t="s">
        <v>933</v>
      </c>
      <c r="C504">
        <v>50184</v>
      </c>
      <c r="D504" t="s">
        <v>934</v>
      </c>
      <c r="E504" s="6">
        <v>60.299999237060547</v>
      </c>
      <c r="G504">
        <v>8</v>
      </c>
      <c r="H504">
        <f t="shared" si="42"/>
        <v>4.8239999389648441E-3</v>
      </c>
      <c r="J504">
        <v>0</v>
      </c>
      <c r="K504">
        <f t="shared" si="43"/>
        <v>0</v>
      </c>
      <c r="M504">
        <v>1</v>
      </c>
      <c r="N504">
        <f t="shared" si="44"/>
        <v>6.0299999237060551E-4</v>
      </c>
      <c r="P504">
        <v>0</v>
      </c>
      <c r="Q504">
        <f t="shared" si="45"/>
        <v>0</v>
      </c>
      <c r="S504">
        <v>0</v>
      </c>
      <c r="T504">
        <f t="shared" si="46"/>
        <v>0</v>
      </c>
      <c r="V504">
        <f>_xlfn.XLOOKUP(B504,[1]Sheet1!$B:$B,[1]Sheet1!$C:$C,0,0,1)</f>
        <v>0</v>
      </c>
      <c r="W504">
        <f t="shared" si="47"/>
        <v>0</v>
      </c>
    </row>
    <row r="505" spans="1:23" x14ac:dyDescent="0.2">
      <c r="A505">
        <v>91103</v>
      </c>
      <c r="B505" t="s">
        <v>935</v>
      </c>
      <c r="C505">
        <v>21793</v>
      </c>
      <c r="D505" t="s">
        <v>936</v>
      </c>
      <c r="E505" s="6">
        <v>97.099998474121094</v>
      </c>
      <c r="G505">
        <v>7</v>
      </c>
      <c r="H505">
        <f t="shared" si="42"/>
        <v>6.7969998931884769E-3</v>
      </c>
      <c r="J505">
        <v>1</v>
      </c>
      <c r="K505">
        <f t="shared" si="43"/>
        <v>9.7099998474121094E-4</v>
      </c>
      <c r="M505">
        <v>2</v>
      </c>
      <c r="N505">
        <f t="shared" si="44"/>
        <v>1.9419999694824219E-3</v>
      </c>
      <c r="P505">
        <v>4</v>
      </c>
      <c r="Q505">
        <f t="shared" si="45"/>
        <v>3.8839999389648438E-3</v>
      </c>
      <c r="S505">
        <v>0</v>
      </c>
      <c r="T505">
        <f t="shared" si="46"/>
        <v>0</v>
      </c>
      <c r="V505">
        <f>_xlfn.XLOOKUP(B505,[1]Sheet1!$B:$B,[1]Sheet1!$C:$C,0,0,1)</f>
        <v>0</v>
      </c>
      <c r="W505">
        <f t="shared" si="47"/>
        <v>0</v>
      </c>
    </row>
    <row r="506" spans="1:23" x14ac:dyDescent="0.2">
      <c r="A506">
        <v>91152</v>
      </c>
      <c r="B506" t="s">
        <v>937</v>
      </c>
      <c r="C506">
        <v>50481</v>
      </c>
      <c r="D506" t="s">
        <v>938</v>
      </c>
      <c r="E506" s="6">
        <v>1267.280029296875</v>
      </c>
      <c r="G506">
        <v>0</v>
      </c>
      <c r="H506">
        <f t="shared" si="42"/>
        <v>0</v>
      </c>
      <c r="J506">
        <v>0</v>
      </c>
      <c r="K506">
        <f t="shared" si="43"/>
        <v>0</v>
      </c>
      <c r="M506">
        <v>0</v>
      </c>
      <c r="N506">
        <f t="shared" si="44"/>
        <v>0</v>
      </c>
      <c r="P506">
        <v>0</v>
      </c>
      <c r="Q506">
        <f t="shared" si="45"/>
        <v>0</v>
      </c>
      <c r="S506">
        <v>0</v>
      </c>
      <c r="T506">
        <f t="shared" si="46"/>
        <v>0</v>
      </c>
      <c r="V506">
        <f>_xlfn.XLOOKUP(B506,[1]Sheet1!$B:$B,[1]Sheet1!$C:$C,0,0,1)</f>
        <v>0</v>
      </c>
      <c r="W506">
        <f t="shared" si="47"/>
        <v>0</v>
      </c>
    </row>
    <row r="507" spans="1:23" x14ac:dyDescent="0.2">
      <c r="A507">
        <v>91233</v>
      </c>
      <c r="B507" t="s">
        <v>939</v>
      </c>
      <c r="C507">
        <v>50700</v>
      </c>
      <c r="D507" t="s">
        <v>940</v>
      </c>
      <c r="E507" s="6">
        <v>526.57000732421875</v>
      </c>
      <c r="G507">
        <v>0</v>
      </c>
      <c r="H507">
        <f t="shared" si="42"/>
        <v>0</v>
      </c>
      <c r="J507">
        <v>1</v>
      </c>
      <c r="K507">
        <f t="shared" si="43"/>
        <v>5.2657000732421874E-3</v>
      </c>
      <c r="M507">
        <v>1</v>
      </c>
      <c r="N507">
        <f t="shared" si="44"/>
        <v>5.2657000732421874E-3</v>
      </c>
      <c r="P507">
        <v>3</v>
      </c>
      <c r="Q507">
        <f t="shared" si="45"/>
        <v>1.5797100219726561E-2</v>
      </c>
      <c r="S507">
        <v>0</v>
      </c>
      <c r="T507">
        <f t="shared" si="46"/>
        <v>0</v>
      </c>
      <c r="V507">
        <f>_xlfn.XLOOKUP(B507,[1]Sheet1!$B:$B,[1]Sheet1!$C:$C,0,0,1)</f>
        <v>0</v>
      </c>
      <c r="W507">
        <f t="shared" si="47"/>
        <v>0</v>
      </c>
    </row>
    <row r="508" spans="1:23" x14ac:dyDescent="0.2">
      <c r="A508">
        <v>91547</v>
      </c>
      <c r="B508" t="s">
        <v>941</v>
      </c>
      <c r="C508">
        <v>51338</v>
      </c>
      <c r="D508" t="s">
        <v>942</v>
      </c>
      <c r="E508" s="6">
        <v>144.05999755859375</v>
      </c>
      <c r="G508">
        <v>1</v>
      </c>
      <c r="H508">
        <f t="shared" si="42"/>
        <v>1.4405999755859374E-3</v>
      </c>
      <c r="J508">
        <v>0</v>
      </c>
      <c r="K508">
        <f t="shared" si="43"/>
        <v>0</v>
      </c>
      <c r="M508">
        <v>2</v>
      </c>
      <c r="N508">
        <f t="shared" si="44"/>
        <v>2.8811999511718749E-3</v>
      </c>
      <c r="P508">
        <v>0</v>
      </c>
      <c r="Q508">
        <f t="shared" si="45"/>
        <v>0</v>
      </c>
      <c r="S508">
        <v>0</v>
      </c>
      <c r="T508">
        <f t="shared" si="46"/>
        <v>0</v>
      </c>
      <c r="V508">
        <f>_xlfn.XLOOKUP(B508,[1]Sheet1!$B:$B,[1]Sheet1!$C:$C,0,0,1)</f>
        <v>0</v>
      </c>
      <c r="W508">
        <f t="shared" si="47"/>
        <v>0</v>
      </c>
    </row>
    <row r="509" spans="1:23" x14ac:dyDescent="0.2">
      <c r="A509">
        <v>91556</v>
      </c>
      <c r="B509" t="s">
        <v>943</v>
      </c>
      <c r="C509">
        <v>7684</v>
      </c>
      <c r="D509" t="s">
        <v>944</v>
      </c>
      <c r="E509" s="6">
        <v>151.27000427246094</v>
      </c>
      <c r="G509">
        <v>1</v>
      </c>
      <c r="H509">
        <f t="shared" si="42"/>
        <v>1.5127000427246093E-3</v>
      </c>
      <c r="J509">
        <v>0</v>
      </c>
      <c r="K509">
        <f t="shared" si="43"/>
        <v>0</v>
      </c>
      <c r="M509">
        <v>1</v>
      </c>
      <c r="N509">
        <f t="shared" si="44"/>
        <v>1.5127000427246093E-3</v>
      </c>
      <c r="P509">
        <v>0</v>
      </c>
      <c r="Q509">
        <f t="shared" si="45"/>
        <v>0</v>
      </c>
      <c r="S509">
        <v>0</v>
      </c>
      <c r="T509">
        <f t="shared" si="46"/>
        <v>0</v>
      </c>
      <c r="V509">
        <f>_xlfn.XLOOKUP(B509,[1]Sheet1!$B:$B,[1]Sheet1!$C:$C,0,0,1)</f>
        <v>0</v>
      </c>
      <c r="W509">
        <f t="shared" si="47"/>
        <v>0</v>
      </c>
    </row>
    <row r="510" spans="1:23" x14ac:dyDescent="0.2">
      <c r="A510">
        <v>91611</v>
      </c>
      <c r="B510" t="s">
        <v>945</v>
      </c>
      <c r="C510">
        <v>51447</v>
      </c>
      <c r="D510" t="s">
        <v>946</v>
      </c>
      <c r="E510" s="6">
        <v>176.24000549316406</v>
      </c>
      <c r="G510">
        <v>0</v>
      </c>
      <c r="H510">
        <f t="shared" si="42"/>
        <v>0</v>
      </c>
      <c r="J510">
        <v>0</v>
      </c>
      <c r="K510">
        <f t="shared" si="43"/>
        <v>0</v>
      </c>
      <c r="M510">
        <v>1</v>
      </c>
      <c r="N510">
        <f t="shared" si="44"/>
        <v>1.7624000549316405E-3</v>
      </c>
      <c r="P510">
        <v>0</v>
      </c>
      <c r="Q510">
        <f t="shared" si="45"/>
        <v>0</v>
      </c>
      <c r="S510">
        <v>0</v>
      </c>
      <c r="T510">
        <f t="shared" si="46"/>
        <v>0</v>
      </c>
      <c r="V510">
        <f>_xlfn.XLOOKUP(B510,[1]Sheet1!$B:$B,[1]Sheet1!$C:$C,0,0,1)</f>
        <v>0</v>
      </c>
      <c r="W510">
        <f t="shared" si="47"/>
        <v>0</v>
      </c>
    </row>
    <row r="511" spans="1:23" x14ac:dyDescent="0.2">
      <c r="A511">
        <v>91849</v>
      </c>
      <c r="B511" t="s">
        <v>947</v>
      </c>
      <c r="C511">
        <v>51962</v>
      </c>
      <c r="D511" t="s">
        <v>948</v>
      </c>
      <c r="E511" s="6">
        <v>226.08999633789062</v>
      </c>
      <c r="G511">
        <v>1</v>
      </c>
      <c r="H511">
        <f t="shared" si="42"/>
        <v>2.2608999633789064E-3</v>
      </c>
      <c r="J511">
        <v>0</v>
      </c>
      <c r="K511">
        <f t="shared" si="43"/>
        <v>0</v>
      </c>
      <c r="M511">
        <v>1</v>
      </c>
      <c r="N511">
        <f t="shared" si="44"/>
        <v>2.2608999633789064E-3</v>
      </c>
      <c r="P511">
        <v>5</v>
      </c>
      <c r="Q511">
        <f t="shared" si="45"/>
        <v>1.1304499816894532E-2</v>
      </c>
      <c r="S511">
        <v>0</v>
      </c>
      <c r="T511">
        <f t="shared" si="46"/>
        <v>0</v>
      </c>
      <c r="V511">
        <f>_xlfn.XLOOKUP(B511,[1]Sheet1!$B:$B,[1]Sheet1!$C:$C,0,0,1)</f>
        <v>0</v>
      </c>
      <c r="W511">
        <f t="shared" si="47"/>
        <v>0</v>
      </c>
    </row>
    <row r="512" spans="1:23" x14ac:dyDescent="0.2">
      <c r="A512">
        <v>91907</v>
      </c>
      <c r="B512" t="s">
        <v>1046</v>
      </c>
      <c r="C512">
        <v>51998</v>
      </c>
      <c r="D512" t="s">
        <v>1047</v>
      </c>
      <c r="E512" s="6">
        <v>30.479999542236328</v>
      </c>
      <c r="G512">
        <v>36</v>
      </c>
      <c r="H512">
        <f t="shared" si="42"/>
        <v>1.0972799835205079E-2</v>
      </c>
      <c r="J512">
        <v>5</v>
      </c>
      <c r="K512">
        <f t="shared" si="43"/>
        <v>1.5239999771118164E-3</v>
      </c>
      <c r="M512">
        <v>4</v>
      </c>
      <c r="N512">
        <f t="shared" si="44"/>
        <v>1.2191999816894531E-3</v>
      </c>
      <c r="P512">
        <v>0</v>
      </c>
      <c r="Q512">
        <f t="shared" si="45"/>
        <v>0</v>
      </c>
      <c r="S512">
        <v>7</v>
      </c>
      <c r="T512">
        <f t="shared" si="46"/>
        <v>2.133599967956543E-3</v>
      </c>
      <c r="V512">
        <f>_xlfn.XLOOKUP(B512,[1]Sheet1!$B:$B,[1]Sheet1!$C:$C,0,0,1)</f>
        <v>0</v>
      </c>
      <c r="W512">
        <f t="shared" si="47"/>
        <v>0</v>
      </c>
    </row>
    <row r="513" spans="1:23" x14ac:dyDescent="0.2">
      <c r="A513">
        <v>91926</v>
      </c>
      <c r="B513" t="s">
        <v>949</v>
      </c>
      <c r="C513">
        <v>20569</v>
      </c>
      <c r="D513" t="s">
        <v>950</v>
      </c>
      <c r="E513" s="6">
        <v>60.5</v>
      </c>
      <c r="G513">
        <v>6</v>
      </c>
      <c r="H513">
        <f t="shared" si="42"/>
        <v>3.63E-3</v>
      </c>
      <c r="J513">
        <v>1</v>
      </c>
      <c r="K513">
        <f t="shared" si="43"/>
        <v>6.0499999999999996E-4</v>
      </c>
      <c r="M513">
        <v>4</v>
      </c>
      <c r="N513">
        <f t="shared" si="44"/>
        <v>2.4199999999999998E-3</v>
      </c>
      <c r="P513">
        <v>10</v>
      </c>
      <c r="Q513">
        <f t="shared" si="45"/>
        <v>6.0499999999999998E-3</v>
      </c>
      <c r="S513">
        <v>1</v>
      </c>
      <c r="T513">
        <f t="shared" si="46"/>
        <v>6.0499999999999996E-4</v>
      </c>
      <c r="V513">
        <f>_xlfn.XLOOKUP(B513,[1]Sheet1!$B:$B,[1]Sheet1!$C:$C,0,0,1)</f>
        <v>0</v>
      </c>
      <c r="W513">
        <f t="shared" si="47"/>
        <v>0</v>
      </c>
    </row>
    <row r="514" spans="1:23" x14ac:dyDescent="0.2">
      <c r="A514">
        <v>91937</v>
      </c>
      <c r="B514" t="s">
        <v>951</v>
      </c>
      <c r="C514">
        <v>52120</v>
      </c>
      <c r="D514" t="s">
        <v>952</v>
      </c>
      <c r="E514" s="6">
        <v>220.72999572753906</v>
      </c>
      <c r="G514">
        <v>1</v>
      </c>
      <c r="H514">
        <f t="shared" si="42"/>
        <v>2.2072999572753907E-3</v>
      </c>
      <c r="J514">
        <v>0</v>
      </c>
      <c r="K514">
        <f t="shared" si="43"/>
        <v>0</v>
      </c>
      <c r="M514">
        <v>1</v>
      </c>
      <c r="N514">
        <f t="shared" si="44"/>
        <v>2.2072999572753907E-3</v>
      </c>
      <c r="P514">
        <v>5</v>
      </c>
      <c r="Q514">
        <f t="shared" si="45"/>
        <v>1.1036499786376953E-2</v>
      </c>
      <c r="S514">
        <v>1</v>
      </c>
      <c r="T514">
        <f t="shared" si="46"/>
        <v>2.2072999572753907E-3</v>
      </c>
      <c r="V514">
        <f>_xlfn.XLOOKUP(B514,[1]Sheet1!$B:$B,[1]Sheet1!$C:$C,0,0,1)</f>
        <v>0</v>
      </c>
      <c r="W514">
        <f t="shared" si="47"/>
        <v>0</v>
      </c>
    </row>
    <row r="515" spans="1:23" x14ac:dyDescent="0.2">
      <c r="A515">
        <v>92050</v>
      </c>
      <c r="B515" t="s">
        <v>953</v>
      </c>
      <c r="C515">
        <v>52301</v>
      </c>
      <c r="D515" t="s">
        <v>954</v>
      </c>
      <c r="E515" s="6">
        <v>261.07000732421875</v>
      </c>
      <c r="G515">
        <v>0</v>
      </c>
      <c r="H515">
        <f t="shared" si="42"/>
        <v>0</v>
      </c>
      <c r="J515">
        <v>2</v>
      </c>
      <c r="K515">
        <f t="shared" si="43"/>
        <v>5.2214001464843752E-3</v>
      </c>
      <c r="M515">
        <v>0</v>
      </c>
      <c r="N515">
        <f t="shared" si="44"/>
        <v>0</v>
      </c>
      <c r="P515">
        <v>2</v>
      </c>
      <c r="Q515">
        <f t="shared" si="45"/>
        <v>5.2214001464843752E-3</v>
      </c>
      <c r="S515">
        <v>2</v>
      </c>
      <c r="T515">
        <f t="shared" si="46"/>
        <v>5.2214001464843752E-3</v>
      </c>
      <c r="V515">
        <f>_xlfn.XLOOKUP(B515,[1]Sheet1!$B:$B,[1]Sheet1!$C:$C,0,0,1)</f>
        <v>0</v>
      </c>
      <c r="W515">
        <f t="shared" si="47"/>
        <v>0</v>
      </c>
    </row>
    <row r="516" spans="1:23" x14ac:dyDescent="0.2">
      <c r="A516">
        <v>92108</v>
      </c>
      <c r="B516" t="s">
        <v>955</v>
      </c>
      <c r="C516">
        <v>52388</v>
      </c>
      <c r="D516" t="s">
        <v>956</v>
      </c>
      <c r="E516" s="6">
        <v>172.41999816894531</v>
      </c>
      <c r="G516">
        <v>3</v>
      </c>
      <c r="H516">
        <f t="shared" si="42"/>
        <v>5.1725999450683595E-3</v>
      </c>
      <c r="J516">
        <v>0</v>
      </c>
      <c r="K516">
        <f t="shared" si="43"/>
        <v>0</v>
      </c>
      <c r="M516">
        <v>1</v>
      </c>
      <c r="N516">
        <f t="shared" si="44"/>
        <v>1.7241999816894531E-3</v>
      </c>
      <c r="P516">
        <v>4</v>
      </c>
      <c r="Q516">
        <f t="shared" si="45"/>
        <v>6.8967999267578123E-3</v>
      </c>
      <c r="S516">
        <v>1</v>
      </c>
      <c r="T516">
        <f t="shared" si="46"/>
        <v>1.7241999816894531E-3</v>
      </c>
      <c r="V516">
        <f>_xlfn.XLOOKUP(B516,[1]Sheet1!$B:$B,[1]Sheet1!$C:$C,0,0,1)</f>
        <v>0</v>
      </c>
      <c r="W516">
        <f t="shared" si="47"/>
        <v>0</v>
      </c>
    </row>
    <row r="517" spans="1:23" x14ac:dyDescent="0.2">
      <c r="A517">
        <v>92121</v>
      </c>
      <c r="B517" t="s">
        <v>957</v>
      </c>
      <c r="C517">
        <v>52396</v>
      </c>
      <c r="D517" t="s">
        <v>958</v>
      </c>
      <c r="E517" s="6">
        <v>173.22999572753906</v>
      </c>
      <c r="G517">
        <v>2</v>
      </c>
      <c r="H517">
        <f t="shared" si="42"/>
        <v>3.4645999145507811E-3</v>
      </c>
      <c r="J517">
        <v>0</v>
      </c>
      <c r="K517">
        <f t="shared" si="43"/>
        <v>0</v>
      </c>
      <c r="M517">
        <v>1</v>
      </c>
      <c r="N517">
        <f t="shared" si="44"/>
        <v>1.7322999572753905E-3</v>
      </c>
      <c r="P517">
        <v>4</v>
      </c>
      <c r="Q517">
        <f t="shared" si="45"/>
        <v>6.9291998291015622E-3</v>
      </c>
      <c r="S517">
        <v>0</v>
      </c>
      <c r="T517">
        <f t="shared" si="46"/>
        <v>0</v>
      </c>
      <c r="V517">
        <f>_xlfn.XLOOKUP(B517,[1]Sheet1!$B:$B,[1]Sheet1!$C:$C,0,0,1)</f>
        <v>0</v>
      </c>
      <c r="W517">
        <f t="shared" si="47"/>
        <v>0</v>
      </c>
    </row>
    <row r="518" spans="1:23" x14ac:dyDescent="0.2">
      <c r="A518">
        <v>92157</v>
      </c>
      <c r="B518" t="s">
        <v>959</v>
      </c>
      <c r="C518">
        <v>52418</v>
      </c>
      <c r="D518" t="s">
        <v>1048</v>
      </c>
      <c r="E518" s="6">
        <v>142.97000122070312</v>
      </c>
      <c r="G518">
        <v>1</v>
      </c>
      <c r="H518">
        <f t="shared" si="42"/>
        <v>1.4297000122070313E-3</v>
      </c>
      <c r="J518">
        <v>3</v>
      </c>
      <c r="K518">
        <f t="shared" si="43"/>
        <v>4.2891000366210939E-3</v>
      </c>
      <c r="M518">
        <v>1</v>
      </c>
      <c r="N518">
        <f t="shared" si="44"/>
        <v>1.4297000122070313E-3</v>
      </c>
      <c r="P518">
        <v>0</v>
      </c>
      <c r="Q518">
        <f t="shared" si="45"/>
        <v>0</v>
      </c>
      <c r="S518">
        <v>3</v>
      </c>
      <c r="T518">
        <f t="shared" si="46"/>
        <v>4.2891000366210939E-3</v>
      </c>
      <c r="V518">
        <f>_xlfn.XLOOKUP(B518,[1]Sheet1!$B:$B,[1]Sheet1!$C:$C,0,0,1)</f>
        <v>0</v>
      </c>
      <c r="W518">
        <f t="shared" si="47"/>
        <v>0</v>
      </c>
    </row>
    <row r="519" spans="1:23" x14ac:dyDescent="0.2">
      <c r="A519">
        <v>92203</v>
      </c>
      <c r="B519" t="s">
        <v>960</v>
      </c>
      <c r="C519">
        <v>52547</v>
      </c>
      <c r="D519" t="s">
        <v>961</v>
      </c>
      <c r="E519" s="6">
        <v>382.41000366210938</v>
      </c>
      <c r="G519">
        <v>0</v>
      </c>
      <c r="H519">
        <f t="shared" si="42"/>
        <v>0</v>
      </c>
      <c r="J519">
        <v>2</v>
      </c>
      <c r="K519">
        <f t="shared" si="43"/>
        <v>7.6482000732421875E-3</v>
      </c>
      <c r="M519">
        <v>0</v>
      </c>
      <c r="N519">
        <f t="shared" si="44"/>
        <v>0</v>
      </c>
      <c r="P519">
        <v>0</v>
      </c>
      <c r="Q519">
        <f t="shared" si="45"/>
        <v>0</v>
      </c>
      <c r="S519">
        <v>1</v>
      </c>
      <c r="T519">
        <f t="shared" si="46"/>
        <v>3.8241000366210937E-3</v>
      </c>
      <c r="V519">
        <f>_xlfn.XLOOKUP(B519,[1]Sheet1!$B:$B,[1]Sheet1!$C:$C,0,0,1)</f>
        <v>0</v>
      </c>
      <c r="W519">
        <f t="shared" si="47"/>
        <v>0</v>
      </c>
    </row>
    <row r="520" spans="1:23" x14ac:dyDescent="0.2">
      <c r="A520">
        <v>92322</v>
      </c>
      <c r="B520" t="s">
        <v>962</v>
      </c>
      <c r="C520">
        <v>52788</v>
      </c>
      <c r="D520" t="s">
        <v>963</v>
      </c>
      <c r="E520" s="6">
        <v>434.92999267578125</v>
      </c>
      <c r="G520">
        <v>0</v>
      </c>
      <c r="H520">
        <f t="shared" si="42"/>
        <v>0</v>
      </c>
      <c r="J520">
        <v>0</v>
      </c>
      <c r="K520">
        <f t="shared" si="43"/>
        <v>0</v>
      </c>
      <c r="M520">
        <v>0</v>
      </c>
      <c r="N520">
        <f t="shared" si="44"/>
        <v>0</v>
      </c>
      <c r="P520">
        <v>0</v>
      </c>
      <c r="Q520">
        <f t="shared" si="45"/>
        <v>0</v>
      </c>
      <c r="S520">
        <v>0</v>
      </c>
      <c r="T520">
        <f t="shared" si="46"/>
        <v>0</v>
      </c>
      <c r="V520">
        <f>_xlfn.XLOOKUP(B520,[1]Sheet1!$B:$B,[1]Sheet1!$C:$C,0,0,1)</f>
        <v>0</v>
      </c>
      <c r="W520">
        <f t="shared" si="47"/>
        <v>0</v>
      </c>
    </row>
    <row r="521" spans="1:23" x14ac:dyDescent="0.2">
      <c r="A521">
        <v>92402</v>
      </c>
      <c r="B521" t="s">
        <v>964</v>
      </c>
      <c r="C521">
        <v>52840</v>
      </c>
      <c r="D521" t="s">
        <v>965</v>
      </c>
      <c r="E521" s="6">
        <v>600.010009765625</v>
      </c>
      <c r="G521">
        <v>0</v>
      </c>
      <c r="H521">
        <f t="shared" si="42"/>
        <v>0</v>
      </c>
      <c r="J521">
        <v>1</v>
      </c>
      <c r="K521">
        <f t="shared" si="43"/>
        <v>6.0001000976562498E-3</v>
      </c>
      <c r="M521">
        <v>0</v>
      </c>
      <c r="N521">
        <f t="shared" si="44"/>
        <v>0</v>
      </c>
      <c r="P521">
        <v>0</v>
      </c>
      <c r="Q521">
        <f t="shared" si="45"/>
        <v>0</v>
      </c>
      <c r="S521">
        <v>2</v>
      </c>
      <c r="T521">
        <f t="shared" si="46"/>
        <v>1.20002001953125E-2</v>
      </c>
      <c r="V521">
        <f>_xlfn.XLOOKUP(B521,[1]Sheet1!$B:$B,[1]Sheet1!$C:$C,0,0,1)</f>
        <v>0</v>
      </c>
      <c r="W521">
        <f t="shared" si="47"/>
        <v>0</v>
      </c>
    </row>
    <row r="522" spans="1:23" x14ac:dyDescent="0.2">
      <c r="A522">
        <v>92602</v>
      </c>
      <c r="B522" t="s">
        <v>966</v>
      </c>
      <c r="C522">
        <v>52978</v>
      </c>
      <c r="D522" t="s">
        <v>967</v>
      </c>
      <c r="E522" s="6">
        <v>120.34999847412109</v>
      </c>
      <c r="G522">
        <v>1</v>
      </c>
      <c r="H522">
        <f t="shared" si="42"/>
        <v>1.2034999847412109E-3</v>
      </c>
      <c r="J522">
        <v>0</v>
      </c>
      <c r="K522">
        <f t="shared" si="43"/>
        <v>0</v>
      </c>
      <c r="M522">
        <v>3</v>
      </c>
      <c r="N522">
        <f t="shared" si="44"/>
        <v>3.6104999542236329E-3</v>
      </c>
      <c r="P522">
        <v>0</v>
      </c>
      <c r="Q522">
        <f t="shared" si="45"/>
        <v>0</v>
      </c>
      <c r="S522">
        <v>0</v>
      </c>
      <c r="T522">
        <f t="shared" si="46"/>
        <v>0</v>
      </c>
      <c r="V522">
        <f>_xlfn.XLOOKUP(B522,[1]Sheet1!$B:$B,[1]Sheet1!$C:$C,0,0,1)</f>
        <v>0</v>
      </c>
      <c r="W522">
        <f t="shared" si="47"/>
        <v>0</v>
      </c>
    </row>
    <row r="523" spans="1:23" x14ac:dyDescent="0.2">
      <c r="A523">
        <v>92611</v>
      </c>
      <c r="B523" t="s">
        <v>968</v>
      </c>
      <c r="C523">
        <v>52983</v>
      </c>
      <c r="D523" t="s">
        <v>969</v>
      </c>
      <c r="E523" s="6">
        <v>316.04000854492188</v>
      </c>
      <c r="G523">
        <v>1</v>
      </c>
      <c r="H523">
        <f t="shared" si="42"/>
        <v>3.1604000854492187E-3</v>
      </c>
      <c r="J523">
        <v>0</v>
      </c>
      <c r="K523">
        <f t="shared" si="43"/>
        <v>0</v>
      </c>
      <c r="M523">
        <v>1</v>
      </c>
      <c r="N523">
        <f t="shared" si="44"/>
        <v>3.1604000854492187E-3</v>
      </c>
      <c r="P523">
        <v>5</v>
      </c>
      <c r="Q523">
        <f t="shared" si="45"/>
        <v>1.5802000427246093E-2</v>
      </c>
      <c r="S523">
        <v>0</v>
      </c>
      <c r="T523">
        <f t="shared" si="46"/>
        <v>0</v>
      </c>
      <c r="V523">
        <f>_xlfn.XLOOKUP(B523,[1]Sheet1!$B:$B,[1]Sheet1!$C:$C,0,0,1)</f>
        <v>0</v>
      </c>
      <c r="W523">
        <f t="shared" si="47"/>
        <v>0</v>
      </c>
    </row>
    <row r="524" spans="1:23" x14ac:dyDescent="0.2">
      <c r="A524">
        <v>92614</v>
      </c>
      <c r="B524" t="s">
        <v>970</v>
      </c>
      <c r="C524">
        <v>52985</v>
      </c>
      <c r="D524" t="s">
        <v>971</v>
      </c>
      <c r="E524" s="6">
        <v>124.48999786376953</v>
      </c>
      <c r="G524">
        <v>0</v>
      </c>
      <c r="H524">
        <f t="shared" si="42"/>
        <v>0</v>
      </c>
      <c r="J524">
        <v>0</v>
      </c>
      <c r="K524">
        <f t="shared" si="43"/>
        <v>0</v>
      </c>
      <c r="M524">
        <v>1</v>
      </c>
      <c r="N524">
        <f t="shared" si="44"/>
        <v>1.2448999786376952E-3</v>
      </c>
      <c r="P524">
        <v>0</v>
      </c>
      <c r="Q524">
        <f t="shared" si="45"/>
        <v>0</v>
      </c>
      <c r="S524">
        <v>0</v>
      </c>
      <c r="T524">
        <f t="shared" si="46"/>
        <v>0</v>
      </c>
      <c r="V524">
        <f>_xlfn.XLOOKUP(B524,[1]Sheet1!$B:$B,[1]Sheet1!$C:$C,0,0,1)</f>
        <v>0</v>
      </c>
      <c r="W524">
        <f t="shared" si="47"/>
        <v>0</v>
      </c>
    </row>
    <row r="525" spans="1:23" x14ac:dyDescent="0.2">
      <c r="A525">
        <v>92655</v>
      </c>
      <c r="B525" t="s">
        <v>972</v>
      </c>
      <c r="C525">
        <v>7267</v>
      </c>
      <c r="D525" t="s">
        <v>973</v>
      </c>
      <c r="E525" s="6">
        <v>505.8599853515625</v>
      </c>
      <c r="G525">
        <v>0</v>
      </c>
      <c r="H525">
        <f t="shared" si="42"/>
        <v>0</v>
      </c>
      <c r="J525">
        <v>0</v>
      </c>
      <c r="K525">
        <f t="shared" si="43"/>
        <v>0</v>
      </c>
      <c r="M525">
        <v>0</v>
      </c>
      <c r="N525">
        <f t="shared" si="44"/>
        <v>0</v>
      </c>
      <c r="P525">
        <v>0</v>
      </c>
      <c r="Q525">
        <f t="shared" si="45"/>
        <v>0</v>
      </c>
      <c r="S525">
        <v>0</v>
      </c>
      <c r="T525">
        <f t="shared" si="46"/>
        <v>0</v>
      </c>
      <c r="V525">
        <f>_xlfn.XLOOKUP(B525,[1]Sheet1!$B:$B,[1]Sheet1!$C:$C,0,0,1)</f>
        <v>0</v>
      </c>
      <c r="W525">
        <f t="shared" si="47"/>
        <v>0</v>
      </c>
    </row>
    <row r="526" spans="1:23" x14ac:dyDescent="0.2">
      <c r="A526">
        <v>93002</v>
      </c>
      <c r="B526" t="s">
        <v>974</v>
      </c>
      <c r="C526">
        <v>53196</v>
      </c>
      <c r="D526" t="s">
        <v>975</v>
      </c>
      <c r="E526" s="6">
        <v>231.83999633789062</v>
      </c>
      <c r="G526">
        <v>5</v>
      </c>
      <c r="H526">
        <f t="shared" si="42"/>
        <v>1.1591999816894532E-2</v>
      </c>
      <c r="J526">
        <v>0</v>
      </c>
      <c r="K526">
        <f t="shared" si="43"/>
        <v>0</v>
      </c>
      <c r="M526">
        <v>1</v>
      </c>
      <c r="N526">
        <f t="shared" si="44"/>
        <v>2.3183999633789062E-3</v>
      </c>
      <c r="P526">
        <v>0</v>
      </c>
      <c r="Q526">
        <f t="shared" si="45"/>
        <v>0</v>
      </c>
      <c r="S526">
        <v>1</v>
      </c>
      <c r="T526">
        <f t="shared" si="46"/>
        <v>2.3183999633789062E-3</v>
      </c>
      <c r="V526">
        <f>_xlfn.XLOOKUP(B526,[1]Sheet1!$B:$B,[1]Sheet1!$C:$C,0,0,1)</f>
        <v>0</v>
      </c>
      <c r="W526">
        <f t="shared" si="47"/>
        <v>0</v>
      </c>
    </row>
    <row r="527" spans="1:23" x14ac:dyDescent="0.2">
      <c r="A527">
        <v>93089</v>
      </c>
      <c r="B527" t="s">
        <v>976</v>
      </c>
      <c r="C527">
        <v>53256</v>
      </c>
      <c r="D527" t="s">
        <v>977</v>
      </c>
      <c r="E527" s="6">
        <v>275.42999267578125</v>
      </c>
      <c r="G527">
        <v>1</v>
      </c>
      <c r="H527">
        <f t="shared" si="42"/>
        <v>2.7542999267578124E-3</v>
      </c>
      <c r="J527">
        <v>0</v>
      </c>
      <c r="K527">
        <f t="shared" si="43"/>
        <v>0</v>
      </c>
      <c r="M527">
        <v>0</v>
      </c>
      <c r="N527">
        <f t="shared" si="44"/>
        <v>0</v>
      </c>
      <c r="P527">
        <v>0</v>
      </c>
      <c r="Q527">
        <f t="shared" si="45"/>
        <v>0</v>
      </c>
      <c r="S527">
        <v>0</v>
      </c>
      <c r="T527">
        <f t="shared" si="46"/>
        <v>0</v>
      </c>
      <c r="V527">
        <f>_xlfn.XLOOKUP(B527,[1]Sheet1!$B:$B,[1]Sheet1!$C:$C,0,0,1)</f>
        <v>0</v>
      </c>
      <c r="W527">
        <f t="shared" si="47"/>
        <v>0</v>
      </c>
    </row>
    <row r="528" spans="1:23" x14ac:dyDescent="0.2">
      <c r="A528">
        <v>93096</v>
      </c>
      <c r="B528" t="s">
        <v>978</v>
      </c>
      <c r="C528">
        <v>53264</v>
      </c>
      <c r="D528" t="s">
        <v>979</v>
      </c>
      <c r="E528" s="6">
        <v>75.819999694824219</v>
      </c>
      <c r="G528">
        <v>0</v>
      </c>
      <c r="H528">
        <f t="shared" ref="H528:H532" si="48">G528*E528/$C$5</f>
        <v>0</v>
      </c>
      <c r="J528">
        <v>0</v>
      </c>
      <c r="K528">
        <f t="shared" ref="K528:K532" si="49">J528*E528/$C$5</f>
        <v>0</v>
      </c>
      <c r="M528">
        <v>1</v>
      </c>
      <c r="N528">
        <f t="shared" ref="N528:N532" si="50">M528*E528/$C$5</f>
        <v>7.5819999694824215E-4</v>
      </c>
      <c r="P528">
        <v>0</v>
      </c>
      <c r="Q528">
        <f t="shared" ref="Q528:Q532" si="51">P528*E528/$C$5</f>
        <v>0</v>
      </c>
      <c r="S528">
        <v>1</v>
      </c>
      <c r="T528">
        <f t="shared" ref="T528:T532" si="52">S528*E528/$C$5</f>
        <v>7.5819999694824215E-4</v>
      </c>
      <c r="V528">
        <f>_xlfn.XLOOKUP(B528,[1]Sheet1!$B:$B,[1]Sheet1!$C:$C,0,0,1)</f>
        <v>0</v>
      </c>
      <c r="W528">
        <f t="shared" ref="W528:W532" si="53">V528*E528/$C$5</f>
        <v>0</v>
      </c>
    </row>
    <row r="529" spans="1:23" x14ac:dyDescent="0.2">
      <c r="A529">
        <v>93132</v>
      </c>
      <c r="B529" t="s">
        <v>980</v>
      </c>
      <c r="C529">
        <v>53286</v>
      </c>
      <c r="D529" t="s">
        <v>981</v>
      </c>
      <c r="E529" s="6">
        <v>94.480003356933594</v>
      </c>
      <c r="G529">
        <v>4</v>
      </c>
      <c r="H529">
        <f t="shared" si="48"/>
        <v>3.7792001342773439E-3</v>
      </c>
      <c r="J529">
        <v>0</v>
      </c>
      <c r="K529">
        <f t="shared" si="49"/>
        <v>0</v>
      </c>
      <c r="M529">
        <v>2</v>
      </c>
      <c r="N529">
        <f t="shared" si="50"/>
        <v>1.889600067138672E-3</v>
      </c>
      <c r="P529">
        <v>5</v>
      </c>
      <c r="Q529">
        <f t="shared" si="51"/>
        <v>4.72400016784668E-3</v>
      </c>
      <c r="S529">
        <v>0</v>
      </c>
      <c r="T529">
        <f t="shared" si="52"/>
        <v>0</v>
      </c>
      <c r="V529">
        <f>_xlfn.XLOOKUP(B529,[1]Sheet1!$B:$B,[1]Sheet1!$C:$C,0,0,1)</f>
        <v>0</v>
      </c>
      <c r="W529">
        <f t="shared" si="53"/>
        <v>0</v>
      </c>
    </row>
    <row r="530" spans="1:23" x14ac:dyDescent="0.2">
      <c r="A530">
        <v>93246</v>
      </c>
      <c r="B530" t="s">
        <v>982</v>
      </c>
      <c r="C530">
        <v>53339</v>
      </c>
      <c r="D530" t="s">
        <v>983</v>
      </c>
      <c r="E530" s="6">
        <v>155.05000305175781</v>
      </c>
      <c r="G530">
        <v>1</v>
      </c>
      <c r="H530">
        <f t="shared" si="48"/>
        <v>1.5505000305175781E-3</v>
      </c>
      <c r="J530">
        <v>0</v>
      </c>
      <c r="K530">
        <f t="shared" si="49"/>
        <v>0</v>
      </c>
      <c r="M530">
        <v>1</v>
      </c>
      <c r="N530">
        <f t="shared" si="50"/>
        <v>1.5505000305175781E-3</v>
      </c>
      <c r="P530">
        <v>0</v>
      </c>
      <c r="Q530">
        <f t="shared" si="51"/>
        <v>0</v>
      </c>
      <c r="S530">
        <v>0</v>
      </c>
      <c r="T530">
        <f t="shared" si="52"/>
        <v>0</v>
      </c>
      <c r="V530">
        <f>_xlfn.XLOOKUP(B530,[1]Sheet1!$B:$B,[1]Sheet1!$C:$C,0,0,1)</f>
        <v>0</v>
      </c>
      <c r="W530">
        <f t="shared" si="53"/>
        <v>0</v>
      </c>
    </row>
    <row r="531" spans="1:23" x14ac:dyDescent="0.2">
      <c r="A531">
        <v>93429</v>
      </c>
      <c r="B531" t="s">
        <v>984</v>
      </c>
      <c r="C531">
        <v>53447</v>
      </c>
      <c r="D531" t="s">
        <v>985</v>
      </c>
      <c r="E531" s="6">
        <v>195.39999389648438</v>
      </c>
      <c r="G531">
        <v>1</v>
      </c>
      <c r="H531">
        <f t="shared" si="48"/>
        <v>1.9539999389648439E-3</v>
      </c>
      <c r="J531">
        <v>0</v>
      </c>
      <c r="K531">
        <f t="shared" si="49"/>
        <v>0</v>
      </c>
      <c r="M531">
        <v>1</v>
      </c>
      <c r="N531">
        <f t="shared" si="50"/>
        <v>1.9539999389648439E-3</v>
      </c>
      <c r="P531">
        <v>0</v>
      </c>
      <c r="Q531">
        <f t="shared" si="51"/>
        <v>0</v>
      </c>
      <c r="S531">
        <v>0</v>
      </c>
      <c r="T531">
        <f t="shared" si="52"/>
        <v>0</v>
      </c>
      <c r="V531">
        <f>_xlfn.XLOOKUP(B531,[1]Sheet1!$B:$B,[1]Sheet1!$C:$C,0,0,1)</f>
        <v>0</v>
      </c>
      <c r="W531">
        <f t="shared" si="53"/>
        <v>0</v>
      </c>
    </row>
    <row r="532" spans="1:23" x14ac:dyDescent="0.2">
      <c r="A532">
        <v>93436</v>
      </c>
      <c r="B532" t="s">
        <v>986</v>
      </c>
      <c r="C532">
        <v>53453</v>
      </c>
      <c r="D532" t="s">
        <v>987</v>
      </c>
      <c r="E532" s="6">
        <v>403.83999633789062</v>
      </c>
      <c r="G532">
        <v>2</v>
      </c>
      <c r="H532">
        <f t="shared" si="48"/>
        <v>8.0767999267578119E-3</v>
      </c>
      <c r="J532">
        <v>1</v>
      </c>
      <c r="K532">
        <f t="shared" si="49"/>
        <v>4.038399963378906E-3</v>
      </c>
      <c r="M532">
        <v>0</v>
      </c>
      <c r="N532">
        <f t="shared" si="50"/>
        <v>0</v>
      </c>
      <c r="P532">
        <v>1</v>
      </c>
      <c r="Q532">
        <f t="shared" si="51"/>
        <v>4.038399963378906E-3</v>
      </c>
      <c r="S532">
        <v>1</v>
      </c>
      <c r="T532">
        <f t="shared" si="52"/>
        <v>4.038399963378906E-3</v>
      </c>
      <c r="V532">
        <f>_xlfn.XLOOKUP(B532,[1]Sheet1!$B:$B,[1]Sheet1!$C:$C,0,0,1)</f>
        <v>0</v>
      </c>
      <c r="W532">
        <f t="shared" si="53"/>
        <v>0</v>
      </c>
    </row>
  </sheetData>
  <mergeCells count="6">
    <mergeCell ref="V8:W8"/>
    <mergeCell ref="G8:H8"/>
    <mergeCell ref="J8:K8"/>
    <mergeCell ref="M8:N8"/>
    <mergeCell ref="P8:Q8"/>
    <mergeCell ref="S8:T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lafj0rqpysrmixbb</vt:lpstr>
      <vt:lpstr>lafj0rqpysrmixbb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Péter, M. (Milán)</cp:lastModifiedBy>
  <dcterms:created xsi:type="dcterms:W3CDTF">2024-08-21T13:59:37Z</dcterms:created>
  <dcterms:modified xsi:type="dcterms:W3CDTF">2025-10-07T17:49:50Z</dcterms:modified>
</cp:coreProperties>
</file>